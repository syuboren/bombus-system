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務部獎金制度" sheetId="1" r:id="rId4"/>
    <sheet state="visible" name="專案部獎金辦法" sheetId="2" r:id="rId5"/>
    <sheet state="visible" name="工程部獎金辦法" sheetId="3" r:id="rId6"/>
    <sheet state="visible" name="財會部獎金辦法" sheetId="4" r:id="rId7"/>
    <sheet state="visible" name="會計一(2025年績效檢核)" sheetId="5" r:id="rId8"/>
    <sheet state="visible" name="會計二(2025年績效檢核)" sheetId="6" r:id="rId9"/>
    <sheet state="visible" name="會計三(2025年績效檢核)" sheetId="7" r:id="rId10"/>
  </sheets>
  <definedNames/>
  <calcPr/>
  <extLst>
    <ext uri="GoogleSheetsCustomDataVersion2">
      <go:sheetsCustomData xmlns:go="http://customooxmlschemas.google.com/" r:id="rId11" roundtripDataChecksum="oi2J6HjO3vjglru2bMi1/GqE8fePHBM3cTgZ7xoQ5xg="/>
    </ext>
  </extLst>
</workbook>
</file>

<file path=xl/sharedStrings.xml><?xml version="1.0" encoding="utf-8"?>
<sst xmlns="http://schemas.openxmlformats.org/spreadsheetml/2006/main" count="336" uniqueCount="189">
  <si>
    <t>業務薪資及獎金計算表</t>
  </si>
  <si>
    <t>薪資/月</t>
  </si>
  <si>
    <t>薪資/12月</t>
  </si>
  <si>
    <t>基本目標業績毛利</t>
  </si>
  <si>
    <t>基本3倍毛利</t>
  </si>
  <si>
    <t>基本目標業績營業額</t>
  </si>
  <si>
    <t>換算15%營業額</t>
  </si>
  <si>
    <t>公司提供業績認列毛利(10%)</t>
  </si>
  <si>
    <t>業務自有之毛利(100%)</t>
  </si>
  <si>
    <t>合計毛利</t>
  </si>
  <si>
    <t>以上方能支領獎金</t>
  </si>
  <si>
    <t>範例：</t>
  </si>
  <si>
    <t>範例</t>
  </si>
  <si>
    <t>業務Ａ每月薪資</t>
  </si>
  <si>
    <t>專案銷售額</t>
  </si>
  <si>
    <t>專案銷售成本</t>
  </si>
  <si>
    <t>毛利</t>
  </si>
  <si>
    <t>業務A薪資/12個月</t>
  </si>
  <si>
    <t>公司提供認列(Total)</t>
  </si>
  <si>
    <t>業務自有毛利(Total)</t>
  </si>
  <si>
    <t>公司提供業績認列毛利(3-9%)</t>
  </si>
  <si>
    <t>須扣除保固保證金利息</t>
  </si>
  <si>
    <t>業務整年度請款</t>
  </si>
  <si>
    <t>倍數核算</t>
  </si>
  <si>
    <t>認列倍數為9倍, 小數點無條件捨去</t>
  </si>
  <si>
    <t>合計毛利倍數</t>
  </si>
  <si>
    <t>獎金%數</t>
  </si>
  <si>
    <t>毛利倍數</t>
  </si>
  <si>
    <t>獎金核算金額</t>
  </si>
  <si>
    <t>實領獎金</t>
  </si>
  <si>
    <t>10倍以上皆為20%</t>
  </si>
  <si>
    <t>隔年調漲薪資幅度</t>
  </si>
  <si>
    <t>提領獎金之倍數為隔年調漲薪資之(1+倍數開根號x5)%</t>
  </si>
  <si>
    <t>薪資</t>
  </si>
  <si>
    <t>倍數</t>
  </si>
  <si>
    <t>開根號</t>
  </si>
  <si>
    <t>乘5</t>
  </si>
  <si>
    <t>調薪幅度</t>
  </si>
  <si>
    <t>以百位數無條件進位</t>
  </si>
  <si>
    <t>此案例隔年薪資調幅</t>
  </si>
  <si>
    <t>隔年調降薪資幅度</t>
  </si>
  <si>
    <t>未達3倍調降5%</t>
  </si>
  <si>
    <t>以千位數無條件捨去</t>
  </si>
  <si>
    <t>未達2倍調降10%</t>
  </si>
  <si>
    <t>未達1倍調降15%</t>
  </si>
  <si>
    <t>調降%</t>
  </si>
  <si>
    <t>若此個案隔年調降薪資幅度</t>
  </si>
  <si>
    <t>議價金額(100%)</t>
  </si>
  <si>
    <t>基本2倍毛利</t>
  </si>
  <si>
    <t>認列倍數為7倍, 小數點無條件捨去</t>
  </si>
  <si>
    <t>工程部薪資及獎金計算表</t>
  </si>
  <si>
    <t>初級高程師</t>
  </si>
  <si>
    <t>一般工程師基本薪</t>
  </si>
  <si>
    <t>相對應其他廠牌</t>
  </si>
  <si>
    <t>5x8</t>
  </si>
  <si>
    <t>7x8</t>
  </si>
  <si>
    <t>7x24</t>
  </si>
  <si>
    <t>每季&amp;By Call</t>
  </si>
  <si>
    <t>每月</t>
  </si>
  <si>
    <t>每週</t>
  </si>
  <si>
    <t>中級工程師</t>
  </si>
  <si>
    <t xml:space="preserve">Cisco CCNA 認證、、或 </t>
  </si>
  <si>
    <t>Cisco CCNP 認證</t>
  </si>
  <si>
    <t>高階工程師</t>
  </si>
  <si>
    <t>ISO27001</t>
  </si>
  <si>
    <t>資深經理</t>
  </si>
  <si>
    <t>NSE4</t>
  </si>
  <si>
    <t xml:space="preserve">相對應其他廠牌 </t>
  </si>
  <si>
    <t>5x8x4</t>
  </si>
  <si>
    <t>每季</t>
  </si>
  <si>
    <t>VMWARE</t>
  </si>
  <si>
    <t xml:space="preserve">Cisco CCIE 認證或相對應其他廠牌 </t>
  </si>
  <si>
    <t>5x8x5</t>
  </si>
  <si>
    <t>PA-PCCSA</t>
  </si>
  <si>
    <t>工程師等級</t>
  </si>
  <si>
    <t>12個月</t>
  </si>
  <si>
    <t>薪資價差總額</t>
  </si>
  <si>
    <t>薪資價差總額基本目標業績毛利</t>
  </si>
  <si>
    <t>基本達薪資價差3倍毛利,超過以上方能支領獎金</t>
  </si>
  <si>
    <t>公司銷售須提供基本安裝認列營業額(1.5-4%)</t>
  </si>
  <si>
    <t>需派工安裝或協助之總營業額毛利(GP)</t>
  </si>
  <si>
    <t>需派工安裝定期保養項目之總營業額毛利(GP)</t>
  </si>
  <si>
    <t>業務簽回維護合約業績認列毛利(10-20%)</t>
  </si>
  <si>
    <t>業務簽回維護認列工程部之總營業額毛利(GP)</t>
  </si>
  <si>
    <t>工程部簽回維護自有之營業額毛利(20%)</t>
  </si>
  <si>
    <r>
      <rPr>
        <rFont val="Microsoft JhengHei"/>
        <color rgb="FFFF0000"/>
        <sz val="10.0"/>
      </rPr>
      <t>工程部簽有維護</t>
    </r>
    <r>
      <rPr>
        <rFont val="微軟正黑體"/>
        <b/>
        <color rgb="FFFF0000"/>
        <sz val="10.0"/>
      </rPr>
      <t>自有</t>
    </r>
    <r>
      <rPr>
        <rFont val="微軟正黑體"/>
        <color rgb="FFFF0000"/>
        <sz val="10.0"/>
      </rPr>
      <t>之總營業額毛利(GP)</t>
    </r>
  </si>
  <si>
    <t>工程年度請款</t>
  </si>
  <si>
    <t>設備備品經同意依金額攤提三年列為成本</t>
  </si>
  <si>
    <t>認列倍數為6倍, 小數點無條件捨去</t>
  </si>
  <si>
    <t>獎金核算毛利金額</t>
  </si>
  <si>
    <t>提領獎金之倍數為隔年調漲薪資之(1+倍數開根號x10)%</t>
  </si>
  <si>
    <t>薪資價差</t>
  </si>
  <si>
    <t>乘10</t>
  </si>
  <si>
    <t>以千位數無條件進位</t>
  </si>
  <si>
    <t>財會部獎金評估標準(每季評估，若職務工作異動，該辦法將因地制宜)</t>
  </si>
  <si>
    <t>一、協助業務部專案業績的資金規劃來源:</t>
  </si>
  <si>
    <t>金額</t>
  </si>
  <si>
    <t>%</t>
  </si>
  <si>
    <t>獎金</t>
  </si>
  <si>
    <t>以業務部毛利之0.8%，作為財會部的獎金。</t>
  </si>
  <si>
    <t>營收淨額</t>
  </si>
  <si>
    <t>1.支付專案廠商款項之作業。</t>
  </si>
  <si>
    <t>2.工程合約押標、履約及保固金之資金籌措或通知銀行開立保證函作業。</t>
  </si>
  <si>
    <t>銀行額度(原有)</t>
  </si>
  <si>
    <t>3.工程合約窗口發票開立及收款帳戶的通知。</t>
  </si>
  <si>
    <t>1千萬以下</t>
  </si>
  <si>
    <t>1千萬-3千萬超過部分</t>
  </si>
  <si>
    <t>二.資金籌措來源增加:</t>
  </si>
  <si>
    <t>3千萬以上</t>
  </si>
  <si>
    <t>1.原有銀行額度增加。(年度)一次性</t>
  </si>
  <si>
    <t>小計</t>
  </si>
  <si>
    <t>額度</t>
  </si>
  <si>
    <t>獎金比例</t>
  </si>
  <si>
    <t>銀行額度(新增)</t>
  </si>
  <si>
    <t>1千萬-3千萬超過金額</t>
  </si>
  <si>
    <t>3千萬以上超過金額</t>
  </si>
  <si>
    <t>2.新銀行額度的增加。(年度)一次性</t>
  </si>
  <si>
    <t>政府補助專案(財會全體參與)</t>
  </si>
  <si>
    <t>補助金額</t>
  </si>
  <si>
    <t>1百萬以下</t>
  </si>
  <si>
    <t>1百萬-5百萬超過金額</t>
  </si>
  <si>
    <t>5百萬-1千萬超過金額</t>
  </si>
  <si>
    <t>三.帳務結算期限&amp;資料歸檔狀況(包括實體)。</t>
  </si>
  <si>
    <t>財會部獎金</t>
  </si>
  <si>
    <t>1.依照每月結帳效率如下加扣點:</t>
  </si>
  <si>
    <t>結帳期限</t>
  </si>
  <si>
    <t>加扣點數</t>
  </si>
  <si>
    <t>5日前</t>
  </si>
  <si>
    <t>財會部組成</t>
  </si>
  <si>
    <t>主管</t>
  </si>
  <si>
    <t>會計一</t>
  </si>
  <si>
    <t>會計二</t>
  </si>
  <si>
    <t>會計三</t>
  </si>
  <si>
    <t>合計</t>
  </si>
  <si>
    <t>6日至10日</t>
  </si>
  <si>
    <t>15日至20日</t>
  </si>
  <si>
    <t>分成比例</t>
  </si>
  <si>
    <t>21日以後</t>
  </si>
  <si>
    <t>2.文件掃描及實體歸檔完成度。(%)</t>
  </si>
  <si>
    <t>加減點數</t>
  </si>
  <si>
    <t>完成度</t>
  </si>
  <si>
    <t>扣點</t>
  </si>
  <si>
    <t>0-30%</t>
  </si>
  <si>
    <t>加減分成</t>
  </si>
  <si>
    <t>30%-60%</t>
  </si>
  <si>
    <t>60%-99%</t>
  </si>
  <si>
    <t>總計</t>
  </si>
  <si>
    <t>分成獎金</t>
  </si>
  <si>
    <t>四.作業誤差次數。</t>
  </si>
  <si>
    <t>1.網銀操作資金誤差。(超過3次，第四次起每次扣1點)</t>
  </si>
  <si>
    <t>2.傳票入賬錯誤。(超過3次，第四次起每次扣1點)</t>
  </si>
  <si>
    <t>3.缺漏提供資訊給事務所(包括營業稅)。(超過2次，第3次起每次扣1點)</t>
  </si>
  <si>
    <t>4.帳務結帳不完整。(%)</t>
  </si>
  <si>
    <t>(加點可抵銷扣點，淨額計算之)</t>
  </si>
  <si>
    <t>扣減%</t>
  </si>
  <si>
    <t>5點以下</t>
  </si>
  <si>
    <t>6-10點</t>
  </si>
  <si>
    <t>11-20點</t>
  </si>
  <si>
    <t>20點以上</t>
  </si>
  <si>
    <t>五.專案承接(包括政府補助)</t>
  </si>
  <si>
    <t>1.公司內部作業方式或ERP系統調整或變革，作為專案負責人。(加3點調整)</t>
  </si>
  <si>
    <t>2.政府外部申請補助，以補助金額之0.1%作為獎金並加5點調整。</t>
  </si>
  <si>
    <t>加點</t>
  </si>
  <si>
    <t>備註:</t>
  </si>
  <si>
    <t>1.分成比例扣減完，改善工作啟動，改善啟動後兩季內無法提升，職員自行提出離職或資遣之。</t>
  </si>
  <si>
    <t>六.外帳提供暫結報表期限。</t>
  </si>
  <si>
    <t>1.每年之4/20、7/20、10/20提供每季暫結報表，2月底提供年度暫結，3/31提供財簽及稅簽報告。</t>
  </si>
  <si>
    <r>
      <rPr>
        <rFont val="Microsoft JhengHei"/>
        <color theme="1"/>
        <sz val="10.0"/>
      </rPr>
      <t>未達成者</t>
    </r>
    <r>
      <rPr>
        <rFont val="微軟正黑體"/>
        <b/>
        <color rgb="FFFF0000"/>
        <sz val="10.0"/>
      </rPr>
      <t>-2</t>
    </r>
    <r>
      <rPr>
        <rFont val="微軟正黑體"/>
        <color theme="1"/>
        <sz val="10.0"/>
      </rPr>
      <t>，非歸責於己者，不扣點。</t>
    </r>
  </si>
  <si>
    <t>2.遇有銀行申請額度提供暫結須於10日內提供暫結報表。</t>
  </si>
  <si>
    <r>
      <rPr>
        <rFont val="Microsoft JhengHei"/>
        <color theme="1"/>
        <sz val="10.0"/>
      </rPr>
      <t>未達成者</t>
    </r>
    <r>
      <rPr>
        <rFont val="微軟正黑體"/>
        <b/>
        <color rgb="FFFF0000"/>
        <sz val="10.0"/>
      </rPr>
      <t>-2</t>
    </r>
    <r>
      <rPr>
        <rFont val="微軟正黑體"/>
        <color theme="1"/>
        <sz val="10.0"/>
      </rPr>
      <t>，非歸責於己者，不扣點。</t>
    </r>
  </si>
  <si>
    <t>七.提供外帳資料期限。</t>
  </si>
  <si>
    <t>1.須於隔月5日前提供當月完整資料給事務所。</t>
  </si>
  <si>
    <r>
      <rPr>
        <rFont val="Microsoft JhengHei"/>
        <color theme="1"/>
        <sz val="10.0"/>
      </rPr>
      <t>未達成</t>
    </r>
    <r>
      <rPr>
        <rFont val="微軟正黑體"/>
        <b/>
        <color rgb="FFFF0000"/>
        <sz val="10.0"/>
      </rPr>
      <t>-1</t>
    </r>
    <r>
      <rPr>
        <rFont val="微軟正黑體"/>
        <color theme="1"/>
        <sz val="10.0"/>
      </rPr>
      <t>。</t>
    </r>
  </si>
  <si>
    <r>
      <rPr>
        <rFont val="Microsoft JhengHei"/>
        <b/>
        <color theme="1"/>
        <sz val="10.0"/>
      </rPr>
      <t>八.依照工作職務分配之工作，未達成者依照情節輕重，最少</t>
    </r>
    <r>
      <rPr>
        <rFont val="微軟正黑體"/>
        <b/>
        <color rgb="FFFF0000"/>
        <sz val="10.0"/>
      </rPr>
      <t>-1</t>
    </r>
    <r>
      <rPr>
        <rFont val="微軟正黑體"/>
        <b/>
        <color theme="1"/>
        <sz val="10.0"/>
      </rPr>
      <t>，最多扣</t>
    </r>
    <r>
      <rPr>
        <rFont val="微軟正黑體"/>
        <b/>
        <color rgb="FFFF0000"/>
        <sz val="10.0"/>
      </rPr>
      <t>-3</t>
    </r>
    <r>
      <rPr>
        <rFont val="微軟正黑體"/>
        <b/>
        <color theme="1"/>
        <sz val="10.0"/>
      </rPr>
      <t>。</t>
    </r>
  </si>
  <si>
    <t>九.其他</t>
  </si>
  <si>
    <r>
      <rPr>
        <rFont val="Microsoft JhengHei"/>
        <color theme="1"/>
        <sz val="10.0"/>
      </rPr>
      <t>不遵守或未達成主管交辦事項，懲處並</t>
    </r>
    <r>
      <rPr>
        <rFont val="微軟正黑體"/>
        <b/>
        <color rgb="FFFF0000"/>
        <sz val="10.0"/>
      </rPr>
      <t>-5</t>
    </r>
    <r>
      <rPr>
        <rFont val="微軟正黑體"/>
        <color theme="1"/>
        <sz val="10.0"/>
      </rPr>
      <t>。</t>
    </r>
  </si>
  <si>
    <r>
      <rPr>
        <rFont val="Microsoft JhengHei"/>
        <color theme="1"/>
        <sz val="10.0"/>
      </rPr>
      <t>拒絕主管交辦事項</t>
    </r>
    <r>
      <rPr>
        <rFont val="微軟正黑體"/>
        <b/>
        <color rgb="FFFF0000"/>
        <sz val="10.0"/>
      </rPr>
      <t>-10</t>
    </r>
    <r>
      <rPr>
        <rFont val="微軟正黑體"/>
        <color theme="1"/>
        <sz val="10.0"/>
      </rPr>
      <t>，列入改善工作，且再拒絕之</t>
    </r>
    <r>
      <rPr>
        <rFont val="微軟正黑體"/>
        <b/>
        <color rgb="FFFF0000"/>
        <sz val="10.0"/>
      </rPr>
      <t>-10</t>
    </r>
    <r>
      <rPr>
        <rFont val="微軟正黑體"/>
        <color theme="1"/>
        <sz val="10.0"/>
      </rPr>
      <t>，資遣或自行提出離職申請。</t>
    </r>
  </si>
  <si>
    <r>
      <rPr>
        <rFont val="Microsoft JhengHei"/>
        <color theme="1"/>
        <sz val="10.0"/>
      </rPr>
      <t>越級呈報</t>
    </r>
    <r>
      <rPr>
        <rFont val="微軟正黑體"/>
        <b/>
        <color rgb="FFFF0000"/>
        <sz val="10.0"/>
      </rPr>
      <t>-5</t>
    </r>
    <r>
      <rPr>
        <rFont val="微軟正黑體"/>
        <color theme="1"/>
        <sz val="10.0"/>
      </rPr>
      <t>。</t>
    </r>
  </si>
  <si>
    <r>
      <rPr>
        <rFont val="Microsoft JhengHei"/>
        <color theme="1"/>
        <sz val="10.0"/>
      </rPr>
      <t>主管認為可嘉勉事項者</t>
    </r>
    <r>
      <rPr>
        <rFont val="微軟正黑體"/>
        <b/>
        <color theme="1"/>
        <sz val="10.0"/>
      </rPr>
      <t>+1</t>
    </r>
    <r>
      <rPr>
        <rFont val="微軟正黑體"/>
        <color theme="1"/>
        <sz val="10.0"/>
      </rPr>
      <t>。</t>
    </r>
  </si>
  <si>
    <r>
      <rPr>
        <rFont val="Microsoft JhengHei"/>
        <b/>
        <color theme="1"/>
        <sz val="10.0"/>
      </rPr>
      <t>十.每季內無過失者，+2/協助同仁完成工作+2，反之被協助者</t>
    </r>
    <r>
      <rPr>
        <rFont val="微軟正黑體"/>
        <b/>
        <color rgb="FFFF0000"/>
        <sz val="10.0"/>
      </rPr>
      <t>-2</t>
    </r>
    <r>
      <rPr>
        <rFont val="微軟正黑體"/>
        <b/>
        <color theme="1"/>
        <sz val="10.0"/>
      </rPr>
      <t>。</t>
    </r>
  </si>
  <si>
    <t>ezcoin.tw</t>
  </si>
  <si>
    <t>項目</t>
  </si>
  <si>
    <t>加(減)點</t>
  </si>
  <si>
    <t>第一季</t>
  </si>
  <si>
    <t>第二季</t>
  </si>
  <si>
    <t>第三季</t>
  </si>
  <si>
    <t>第四季</t>
  </si>
  <si>
    <t>年度</t>
  </si>
  <si>
    <t>日期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</si>
</sst>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* #,##0.00_-;\-* #,##0.00_-;_-* &quot;-&quot;??_-;_-@"/>
    <numFmt numFmtId="166" formatCode="0.0%"/>
    <numFmt numFmtId="167" formatCode="_-* #,##0_-;\-* #,##0_-;_-* &quot;-&quot;?_-;_-@"/>
    <numFmt numFmtId="168" formatCode="#,##0_);[Red]\(#,##0\)"/>
    <numFmt numFmtId="169" formatCode="m&quot;月&quot;d&quot;日&quot;"/>
  </numFmts>
  <fonts count="8">
    <font>
      <sz val="12.0"/>
      <color theme="1"/>
      <name val="Calibri"/>
      <scheme val="minor"/>
    </font>
    <font>
      <b/>
      <sz val="10.0"/>
      <color theme="1"/>
      <name val="Microsoft JhengHei"/>
    </font>
    <font>
      <sz val="10.0"/>
      <color theme="1"/>
      <name val="Microsoft JhengHei"/>
    </font>
    <font>
      <sz val="10.0"/>
      <color rgb="FFFF0000"/>
      <name val="Microsoft JhengHei"/>
    </font>
    <font>
      <b/>
      <sz val="10.0"/>
      <color rgb="FFFF0000"/>
      <name val="Microsoft JhengHei"/>
    </font>
    <font>
      <u/>
      <sz val="11.0"/>
      <color rgb="FFCE9178"/>
      <name val="Consolas"/>
    </font>
    <font>
      <sz val="12.0"/>
      <color theme="1"/>
      <name val="PMingLiu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FF00"/>
        <bgColor rgb="FFFFFF00"/>
      </patternFill>
    </fill>
  </fills>
  <borders count="2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2" numFmtId="165" xfId="0" applyAlignment="1" applyFont="1" applyNumberFormat="1">
      <alignment vertical="center"/>
    </xf>
    <xf borderId="3" fillId="0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164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3" fillId="0" fontId="2" numFmtId="0" xfId="0" applyAlignment="1" applyBorder="1" applyFont="1">
      <alignment vertical="center"/>
    </xf>
    <xf borderId="14" fillId="0" fontId="2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164" xfId="0" applyAlignment="1" applyBorder="1" applyFont="1" applyNumberFormat="1">
      <alignment vertical="center"/>
    </xf>
    <xf borderId="17" fillId="0" fontId="2" numFmtId="0" xfId="0" applyAlignment="1" applyBorder="1" applyFont="1">
      <alignment vertical="center"/>
    </xf>
    <xf borderId="18" fillId="0" fontId="4" numFmtId="2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19" fillId="0" fontId="2" numFmtId="0" xfId="0" applyAlignment="1" applyBorder="1" applyFont="1">
      <alignment horizontal="center" vertical="center"/>
    </xf>
    <xf borderId="20" fillId="0" fontId="2" numFmtId="166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vertical="center"/>
    </xf>
    <xf borderId="21" fillId="0" fontId="4" numFmtId="167" xfId="0" applyAlignment="1" applyBorder="1" applyFont="1" applyNumberFormat="1">
      <alignment vertical="center"/>
    </xf>
    <xf borderId="0" fillId="0" fontId="2" numFmtId="10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3" numFmtId="167" xfId="0" applyAlignment="1" applyFont="1" applyNumberFormat="1">
      <alignment vertical="center"/>
    </xf>
    <xf borderId="22" fillId="0" fontId="2" numFmtId="164" xfId="0" applyAlignment="1" applyBorder="1" applyFont="1" applyNumberFormat="1">
      <alignment vertical="center"/>
    </xf>
    <xf borderId="22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0" fillId="0" fontId="2" numFmtId="9" xfId="0" applyAlignment="1" applyBorder="1" applyFont="1" applyNumberFormat="1">
      <alignment horizontal="center" vertical="center"/>
    </xf>
    <xf borderId="11" fillId="0" fontId="2" numFmtId="9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7" fillId="0" fontId="2" numFmtId="9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23" fillId="0" fontId="2" numFmtId="164" xfId="0" applyAlignment="1" applyBorder="1" applyFont="1" applyNumberFormat="1">
      <alignment vertical="center"/>
    </xf>
    <xf borderId="23" fillId="0" fontId="2" numFmtId="0" xfId="0" applyAlignment="1" applyBorder="1" applyFont="1">
      <alignment vertical="center"/>
    </xf>
    <xf borderId="18" fillId="0" fontId="2" numFmtId="164" xfId="0" applyAlignment="1" applyBorder="1" applyFont="1" applyNumberFormat="1">
      <alignment vertical="center"/>
    </xf>
    <xf borderId="7" fillId="0" fontId="2" numFmtId="164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1" fillId="0" fontId="4" numFmtId="164" xfId="0" applyAlignment="1" applyBorder="1" applyFont="1" applyNumberFormat="1">
      <alignment horizontal="center" vertical="center"/>
    </xf>
    <xf borderId="0" fillId="0" fontId="2" numFmtId="168" xfId="0" applyAlignment="1" applyFont="1" applyNumberFormat="1">
      <alignment vertical="center"/>
    </xf>
    <xf borderId="24" fillId="0" fontId="2" numFmtId="168" xfId="0" applyAlignment="1" applyBorder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5" fillId="0" fontId="2" numFmtId="168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ill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168" xfId="0" applyAlignment="1" applyFont="1" applyNumberFormat="1">
      <alignment vertical="center"/>
    </xf>
    <xf borderId="0" fillId="0" fontId="7" numFmtId="0" xfId="0" applyAlignment="1" applyFont="1">
      <alignment vertical="center"/>
    </xf>
    <xf borderId="26" fillId="3" fontId="6" numFmtId="16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ezcoin.t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6.22"/>
    <col customWidth="1" min="2" max="2" width="18.67"/>
    <col customWidth="1" min="3" max="3" width="27.22"/>
    <col customWidth="1" min="4" max="4" width="19.78"/>
    <col customWidth="1" min="5" max="6" width="13.22"/>
    <col customWidth="1" min="7" max="7" width="18.22"/>
    <col customWidth="1" min="8" max="26" width="6.78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1</v>
      </c>
      <c r="B3" s="3">
        <v>40000.0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 t="s">
        <v>2</v>
      </c>
      <c r="B4" s="3">
        <f>B3*12</f>
        <v>480000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 t="s">
        <v>3</v>
      </c>
      <c r="B5" s="3">
        <f>B4*3</f>
        <v>1440000</v>
      </c>
      <c r="C5" s="2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 t="s">
        <v>5</v>
      </c>
      <c r="B6" s="3">
        <f>B5/0.15</f>
        <v>9600000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 t="s">
        <v>7</v>
      </c>
      <c r="B7" s="3">
        <f>G13*0.1</f>
        <v>8000000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 t="s">
        <v>8</v>
      </c>
      <c r="B8" s="3">
        <f>G14</f>
        <v>200000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 t="s">
        <v>9</v>
      </c>
      <c r="B9" s="3">
        <f>SUM(B7:B8)</f>
        <v>8200000</v>
      </c>
      <c r="C9" s="2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 t="s">
        <v>11</v>
      </c>
      <c r="B11" s="6"/>
      <c r="C11" s="7"/>
      <c r="D11" s="2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8" t="s">
        <v>13</v>
      </c>
      <c r="B12" s="9">
        <v>54400.0</v>
      </c>
      <c r="C12" s="3"/>
      <c r="D12" s="10"/>
      <c r="E12" s="11" t="s">
        <v>14</v>
      </c>
      <c r="F12" s="11" t="s">
        <v>15</v>
      </c>
      <c r="G12" s="12" t="s">
        <v>16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8" t="s">
        <v>17</v>
      </c>
      <c r="B13" s="9">
        <f>B12*12</f>
        <v>652800</v>
      </c>
      <c r="C13" s="2"/>
      <c r="D13" s="13" t="s">
        <v>18</v>
      </c>
      <c r="E13" s="14">
        <v>2.0E8</v>
      </c>
      <c r="F13" s="14">
        <v>1.2E8</v>
      </c>
      <c r="G13" s="15">
        <f t="shared" ref="G13:G14" si="1">E13-F13</f>
        <v>80000000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8" t="s">
        <v>4</v>
      </c>
      <c r="B14" s="9">
        <f>B13*3</f>
        <v>1958400</v>
      </c>
      <c r="C14" s="2"/>
      <c r="D14" s="16" t="s">
        <v>19</v>
      </c>
      <c r="E14" s="17">
        <v>1000000.0</v>
      </c>
      <c r="F14" s="17">
        <v>800000.0</v>
      </c>
      <c r="G14" s="18">
        <f t="shared" si="1"/>
        <v>200000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9" t="s">
        <v>20</v>
      </c>
      <c r="B15" s="20">
        <v>886397.0</v>
      </c>
      <c r="C15" s="3"/>
      <c r="D15" s="2"/>
      <c r="E15" s="2"/>
      <c r="F15" s="2"/>
      <c r="G15" s="21" t="s">
        <v>21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2" t="s">
        <v>8</v>
      </c>
      <c r="B16" s="23">
        <v>5548752.0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8" t="s">
        <v>22</v>
      </c>
      <c r="B17" s="9">
        <v>150000.0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8" t="s">
        <v>9</v>
      </c>
      <c r="B18" s="9">
        <f>B15+B16-B17</f>
        <v>6285149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4" t="s">
        <v>23</v>
      </c>
      <c r="B19" s="25">
        <f>B18/B13</f>
        <v>9.6279856</v>
      </c>
      <c r="C19" s="2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6" t="s">
        <v>25</v>
      </c>
      <c r="B21" s="27" t="s">
        <v>26</v>
      </c>
      <c r="C21" s="27" t="s">
        <v>27</v>
      </c>
      <c r="D21" s="27" t="s">
        <v>3</v>
      </c>
      <c r="E21" s="27" t="s">
        <v>28</v>
      </c>
      <c r="F21" s="27" t="s">
        <v>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7">
        <v>3.0</v>
      </c>
      <c r="B22" s="28">
        <v>0.05</v>
      </c>
      <c r="C22" s="3">
        <f>B13*A22</f>
        <v>1958400</v>
      </c>
      <c r="D22" s="3">
        <f>B14</f>
        <v>1958400</v>
      </c>
      <c r="E22" s="3">
        <f>B18-D22</f>
        <v>4326749</v>
      </c>
      <c r="F22" s="29">
        <f t="shared" ref="F22:F29" si="2">E22*B22</f>
        <v>216337.45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7">
        <v>4.0</v>
      </c>
      <c r="B23" s="28">
        <v>0.07</v>
      </c>
      <c r="C23" s="3">
        <f>B13*A23</f>
        <v>2611200</v>
      </c>
      <c r="D23" s="3">
        <f>B14</f>
        <v>1958400</v>
      </c>
      <c r="E23" s="3">
        <f t="shared" ref="E23:E29" si="3">E22</f>
        <v>4326749</v>
      </c>
      <c r="F23" s="29">
        <f t="shared" si="2"/>
        <v>302872.43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7">
        <v>5.0</v>
      </c>
      <c r="B24" s="28">
        <v>0.09</v>
      </c>
      <c r="C24" s="3">
        <f>B13*A24</f>
        <v>3264000</v>
      </c>
      <c r="D24" s="3">
        <f>B14</f>
        <v>1958400</v>
      </c>
      <c r="E24" s="3">
        <f t="shared" si="3"/>
        <v>4326749</v>
      </c>
      <c r="F24" s="29">
        <f t="shared" si="2"/>
        <v>389407.41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7">
        <v>6.0</v>
      </c>
      <c r="B25" s="28">
        <v>0.11</v>
      </c>
      <c r="C25" s="3">
        <f>B13*A25</f>
        <v>3916800</v>
      </c>
      <c r="D25" s="3">
        <f>B14</f>
        <v>1958400</v>
      </c>
      <c r="E25" s="3">
        <f t="shared" si="3"/>
        <v>4326749</v>
      </c>
      <c r="F25" s="29">
        <f t="shared" si="2"/>
        <v>475942.39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7">
        <v>7.0</v>
      </c>
      <c r="B26" s="28">
        <v>0.13</v>
      </c>
      <c r="C26" s="3">
        <f>B13*A26</f>
        <v>4569600</v>
      </c>
      <c r="D26" s="3">
        <f>B14</f>
        <v>1958400</v>
      </c>
      <c r="E26" s="3">
        <f t="shared" si="3"/>
        <v>4326749</v>
      </c>
      <c r="F26" s="29">
        <f t="shared" si="2"/>
        <v>562477.37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7">
        <v>8.0</v>
      </c>
      <c r="B27" s="28">
        <v>0.15</v>
      </c>
      <c r="C27" s="3">
        <f>B13*A27</f>
        <v>5222400</v>
      </c>
      <c r="D27" s="3">
        <f>B14</f>
        <v>1958400</v>
      </c>
      <c r="E27" s="3">
        <f t="shared" si="3"/>
        <v>4326749</v>
      </c>
      <c r="F27" s="29">
        <f t="shared" si="2"/>
        <v>649012.35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0">
        <v>9.0</v>
      </c>
      <c r="B28" s="31">
        <v>0.175</v>
      </c>
      <c r="C28" s="32">
        <f>B13*A28</f>
        <v>5875200</v>
      </c>
      <c r="D28" s="32">
        <f>B14</f>
        <v>1958400</v>
      </c>
      <c r="E28" s="32">
        <f t="shared" si="3"/>
        <v>4326749</v>
      </c>
      <c r="F28" s="33">
        <f t="shared" si="2"/>
        <v>757181.075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7">
        <v>10.0</v>
      </c>
      <c r="B29" s="34">
        <v>0.2</v>
      </c>
      <c r="C29" s="3">
        <f>B13*A29</f>
        <v>6528000</v>
      </c>
      <c r="D29" s="3">
        <f>B14</f>
        <v>1958400</v>
      </c>
      <c r="E29" s="3">
        <f t="shared" si="3"/>
        <v>4326749</v>
      </c>
      <c r="F29" s="29">
        <f t="shared" si="2"/>
        <v>865349.8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7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6" t="s">
        <v>31</v>
      </c>
      <c r="B32" s="29" t="s">
        <v>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6"/>
      <c r="B33" s="2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7" t="s">
        <v>33</v>
      </c>
      <c r="C34" s="27" t="s">
        <v>34</v>
      </c>
      <c r="D34" s="27" t="s">
        <v>35</v>
      </c>
      <c r="E34" s="27" t="s">
        <v>36</v>
      </c>
      <c r="F34" s="27" t="s">
        <v>37</v>
      </c>
      <c r="G34" s="27" t="s">
        <v>38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7" t="s">
        <v>39</v>
      </c>
      <c r="B35" s="3">
        <v>60000.0</v>
      </c>
      <c r="C35" s="2">
        <v>9.0</v>
      </c>
      <c r="D35" s="2">
        <f>SQRT(C35)</f>
        <v>3</v>
      </c>
      <c r="E35" s="2">
        <f>D35*5</f>
        <v>15</v>
      </c>
      <c r="F35" s="2">
        <f>B35*(100+E35)%</f>
        <v>69000</v>
      </c>
      <c r="G35" s="35">
        <v>69000.0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6" t="s">
        <v>40</v>
      </c>
      <c r="B38" s="2" t="s">
        <v>41</v>
      </c>
      <c r="C38" s="27" t="s">
        <v>42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 t="s">
        <v>43</v>
      </c>
      <c r="C39" s="27" t="s">
        <v>42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 t="s">
        <v>44</v>
      </c>
      <c r="C40" s="27" t="s">
        <v>42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7" t="s">
        <v>33</v>
      </c>
      <c r="C42" s="27" t="s">
        <v>34</v>
      </c>
      <c r="D42" s="2" t="s">
        <v>45</v>
      </c>
      <c r="E42" s="27" t="s">
        <v>37</v>
      </c>
      <c r="F42" s="27" t="s">
        <v>42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7" t="s">
        <v>46</v>
      </c>
      <c r="B43" s="3">
        <v>40000.0</v>
      </c>
      <c r="C43" s="2">
        <v>2.3</v>
      </c>
      <c r="D43" s="36">
        <v>0.05</v>
      </c>
      <c r="E43" s="2">
        <f>B43*(100%-D43)</f>
        <v>38000</v>
      </c>
      <c r="F43" s="2">
        <v>38000.0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6.22"/>
    <col customWidth="1" min="2" max="2" width="18.67"/>
    <col customWidth="1" min="3" max="3" width="27.22"/>
    <col customWidth="1" min="4" max="4" width="19.78"/>
    <col customWidth="1" min="5" max="6" width="13.22"/>
    <col customWidth="1" min="7" max="7" width="18.22"/>
    <col customWidth="1" min="8" max="26" width="6.78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1</v>
      </c>
      <c r="B3" s="3">
        <v>40000.0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 t="s">
        <v>2</v>
      </c>
      <c r="B4" s="3">
        <f>B3*12</f>
        <v>480000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 t="s">
        <v>3</v>
      </c>
      <c r="B5" s="3">
        <f>B4*3</f>
        <v>1440000</v>
      </c>
      <c r="C5" s="2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 t="s">
        <v>5</v>
      </c>
      <c r="B6" s="3">
        <f>B5/0.15</f>
        <v>9600000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 t="s">
        <v>7</v>
      </c>
      <c r="B7" s="3">
        <f>G13*0.1</f>
        <v>0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 t="s">
        <v>47</v>
      </c>
      <c r="B8" s="3" t="str">
        <f>G14</f>
        <v/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 t="s">
        <v>9</v>
      </c>
      <c r="B9" s="3">
        <f>SUM(B7:B8)</f>
        <v>0</v>
      </c>
      <c r="C9" s="2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5" t="s">
        <v>11</v>
      </c>
      <c r="B11" s="6"/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8" t="s">
        <v>13</v>
      </c>
      <c r="B12" s="9">
        <v>35500.0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8" t="s">
        <v>17</v>
      </c>
      <c r="B13" s="9">
        <f>B12*12</f>
        <v>426000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8" t="s">
        <v>48</v>
      </c>
      <c r="B14" s="9">
        <f>B13*2</f>
        <v>852000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9" t="s">
        <v>20</v>
      </c>
      <c r="B15" s="20">
        <v>160689.0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2" t="s">
        <v>47</v>
      </c>
      <c r="B16" s="23">
        <v>2668167.0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8" t="s">
        <v>22</v>
      </c>
      <c r="B17" s="9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8" t="s">
        <v>9</v>
      </c>
      <c r="B18" s="9">
        <f>B15+B16-B17</f>
        <v>2828856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4" t="s">
        <v>23</v>
      </c>
      <c r="B19" s="25">
        <f>B18/B13</f>
        <v>6.640507042</v>
      </c>
      <c r="C19" s="2" t="s">
        <v>49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6" t="s">
        <v>25</v>
      </c>
      <c r="B21" s="27" t="s">
        <v>26</v>
      </c>
      <c r="C21" s="27" t="s">
        <v>27</v>
      </c>
      <c r="D21" s="27" t="s">
        <v>3</v>
      </c>
      <c r="E21" s="27" t="s">
        <v>28</v>
      </c>
      <c r="F21" s="27" t="s">
        <v>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7">
        <v>2.0</v>
      </c>
      <c r="B22" s="27">
        <v>5.0</v>
      </c>
      <c r="C22" s="27"/>
      <c r="D22" s="27"/>
      <c r="E22" s="27"/>
      <c r="F22" s="2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7">
        <v>3.0</v>
      </c>
      <c r="B23" s="28">
        <v>0.065</v>
      </c>
      <c r="C23" s="3">
        <f>B13*A23</f>
        <v>1278000</v>
      </c>
      <c r="D23" s="3">
        <f>B14</f>
        <v>852000</v>
      </c>
      <c r="E23" s="3">
        <f>B18-D23</f>
        <v>1976856</v>
      </c>
      <c r="F23" s="29">
        <f t="shared" ref="F23:F30" si="1">E23*B23</f>
        <v>128495.64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7">
        <v>4.0</v>
      </c>
      <c r="B24" s="28">
        <v>0.08</v>
      </c>
      <c r="C24" s="3">
        <f>B13*A24</f>
        <v>1704000</v>
      </c>
      <c r="D24" s="3">
        <f>B14</f>
        <v>852000</v>
      </c>
      <c r="E24" s="3">
        <f t="shared" ref="E24:E30" si="2">E23</f>
        <v>1976856</v>
      </c>
      <c r="F24" s="29">
        <f t="shared" si="1"/>
        <v>158148.48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7">
        <v>5.0</v>
      </c>
      <c r="B25" s="28">
        <v>0.095</v>
      </c>
      <c r="C25" s="3">
        <f>B13*A25</f>
        <v>2130000</v>
      </c>
      <c r="D25" s="3">
        <f>B14</f>
        <v>852000</v>
      </c>
      <c r="E25" s="3">
        <f t="shared" si="2"/>
        <v>1976856</v>
      </c>
      <c r="F25" s="29">
        <f t="shared" si="1"/>
        <v>187801.32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7">
        <v>6.0</v>
      </c>
      <c r="B26" s="28">
        <v>0.115</v>
      </c>
      <c r="C26" s="3">
        <f>B13*A26</f>
        <v>2556000</v>
      </c>
      <c r="D26" s="3">
        <f>B14</f>
        <v>852000</v>
      </c>
      <c r="E26" s="3">
        <f t="shared" si="2"/>
        <v>1976856</v>
      </c>
      <c r="F26" s="37">
        <f t="shared" si="1"/>
        <v>227338.44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7">
        <v>7.0</v>
      </c>
      <c r="B27" s="28">
        <v>0.135</v>
      </c>
      <c r="C27" s="3">
        <f>B13*A27</f>
        <v>2982000</v>
      </c>
      <c r="D27" s="3">
        <f>B14</f>
        <v>852000</v>
      </c>
      <c r="E27" s="3">
        <f t="shared" si="2"/>
        <v>1976856</v>
      </c>
      <c r="F27" s="29">
        <f t="shared" si="1"/>
        <v>266875.56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7">
        <v>8.0</v>
      </c>
      <c r="B28" s="28">
        <v>0.155</v>
      </c>
      <c r="C28" s="3">
        <f>B13*A28</f>
        <v>3408000</v>
      </c>
      <c r="D28" s="3">
        <f>B14</f>
        <v>852000</v>
      </c>
      <c r="E28" s="3">
        <f t="shared" si="2"/>
        <v>1976856</v>
      </c>
      <c r="F28" s="29">
        <f t="shared" si="1"/>
        <v>306412.68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7">
        <v>9.0</v>
      </c>
      <c r="B29" s="28">
        <v>0.175</v>
      </c>
      <c r="C29" s="3">
        <f>B13*A29</f>
        <v>3834000</v>
      </c>
      <c r="D29" s="3">
        <f>B14</f>
        <v>852000</v>
      </c>
      <c r="E29" s="3">
        <f t="shared" si="2"/>
        <v>1976856</v>
      </c>
      <c r="F29" s="29">
        <f t="shared" si="1"/>
        <v>345949.8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7">
        <v>10.0</v>
      </c>
      <c r="B30" s="34">
        <v>0.2</v>
      </c>
      <c r="C30" s="3">
        <f>B13*A30</f>
        <v>4260000</v>
      </c>
      <c r="D30" s="3">
        <f>B14</f>
        <v>852000</v>
      </c>
      <c r="E30" s="3">
        <f t="shared" si="2"/>
        <v>1976856</v>
      </c>
      <c r="F30" s="29">
        <f t="shared" si="1"/>
        <v>395371.2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7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6" t="s">
        <v>31</v>
      </c>
      <c r="B33" s="29" t="s">
        <v>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6"/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7" t="s">
        <v>33</v>
      </c>
      <c r="C35" s="27" t="s">
        <v>34</v>
      </c>
      <c r="D35" s="27" t="s">
        <v>35</v>
      </c>
      <c r="E35" s="27" t="s">
        <v>36</v>
      </c>
      <c r="F35" s="27" t="s">
        <v>37</v>
      </c>
      <c r="G35" s="27" t="s">
        <v>38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7" t="s">
        <v>39</v>
      </c>
      <c r="B36" s="3">
        <v>35000.0</v>
      </c>
      <c r="C36" s="2">
        <v>6.0</v>
      </c>
      <c r="D36" s="2">
        <f>SQRT(C36)</f>
        <v>2.449489743</v>
      </c>
      <c r="E36" s="2">
        <f>D36*5</f>
        <v>12.24744871</v>
      </c>
      <c r="F36" s="2">
        <f>B36*(100+E36)%</f>
        <v>39286.60705</v>
      </c>
      <c r="G36" s="35">
        <v>39300.0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6" t="s">
        <v>40</v>
      </c>
      <c r="B39" s="2" t="s">
        <v>41</v>
      </c>
      <c r="C39" s="27" t="s">
        <v>42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 t="s">
        <v>43</v>
      </c>
      <c r="C40" s="27" t="s">
        <v>42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 t="s">
        <v>44</v>
      </c>
      <c r="C41" s="27" t="s">
        <v>42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7" t="s">
        <v>33</v>
      </c>
      <c r="C43" s="27" t="s">
        <v>34</v>
      </c>
      <c r="D43" s="2" t="s">
        <v>45</v>
      </c>
      <c r="E43" s="27" t="s">
        <v>37</v>
      </c>
      <c r="F43" s="27" t="s">
        <v>42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7" t="s">
        <v>46</v>
      </c>
      <c r="B44" s="3">
        <v>40000.0</v>
      </c>
      <c r="C44" s="2">
        <v>2.3</v>
      </c>
      <c r="D44" s="36">
        <v>0.05</v>
      </c>
      <c r="E44" s="2">
        <f>B44*(100%-D44)</f>
        <v>38000</v>
      </c>
      <c r="F44" s="2">
        <v>38000.0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0.56"/>
    <col customWidth="1" min="2" max="2" width="15.78"/>
    <col customWidth="1" min="3" max="3" width="37.33"/>
    <col customWidth="1" min="4" max="4" width="15.11"/>
    <col customWidth="1" min="5" max="5" width="14.89"/>
    <col customWidth="1" min="6" max="6" width="13.0"/>
    <col customWidth="1" min="7" max="7" width="10.67"/>
    <col customWidth="1" min="8" max="14" width="6.89"/>
    <col customWidth="1" min="15" max="26" width="6.78"/>
  </cols>
  <sheetData>
    <row r="1" ht="22.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51</v>
      </c>
      <c r="B3" s="3">
        <v>40000.0</v>
      </c>
      <c r="C3" s="5" t="s">
        <v>52</v>
      </c>
      <c r="D3" s="38">
        <v>38000.0</v>
      </c>
      <c r="E3" s="39" t="s">
        <v>53</v>
      </c>
      <c r="F3" s="40"/>
      <c r="G3" s="41">
        <v>3000.0</v>
      </c>
      <c r="H3" s="2"/>
      <c r="I3" s="42" t="s">
        <v>54</v>
      </c>
      <c r="J3" s="11" t="s">
        <v>55</v>
      </c>
      <c r="K3" s="11" t="s">
        <v>56</v>
      </c>
      <c r="L3" s="11" t="s">
        <v>57</v>
      </c>
      <c r="M3" s="11" t="s">
        <v>58</v>
      </c>
      <c r="N3" s="12" t="s">
        <v>59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 t="s">
        <v>60</v>
      </c>
      <c r="B4" s="3">
        <v>50000.0</v>
      </c>
      <c r="C4" s="8" t="s">
        <v>61</v>
      </c>
      <c r="D4" s="3">
        <v>3000.0</v>
      </c>
      <c r="E4" s="43" t="s">
        <v>62</v>
      </c>
      <c r="F4" s="2"/>
      <c r="G4" s="9">
        <v>5000.0</v>
      </c>
      <c r="H4" s="2"/>
      <c r="I4" s="44">
        <v>0.15</v>
      </c>
      <c r="J4" s="45">
        <v>0.2</v>
      </c>
      <c r="K4" s="45">
        <v>0.25</v>
      </c>
      <c r="L4" s="45">
        <v>0.05</v>
      </c>
      <c r="M4" s="45">
        <v>0.1</v>
      </c>
      <c r="N4" s="46">
        <v>0.15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 t="s">
        <v>63</v>
      </c>
      <c r="B5" s="3">
        <v>70000.0</v>
      </c>
      <c r="C5" s="8" t="s">
        <v>64</v>
      </c>
      <c r="D5" s="3">
        <v>3000.0</v>
      </c>
      <c r="E5" s="43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 t="s">
        <v>65</v>
      </c>
      <c r="B6" s="3">
        <v>100000.0</v>
      </c>
      <c r="C6" s="8" t="s">
        <v>66</v>
      </c>
      <c r="D6" s="3">
        <v>3000.0</v>
      </c>
      <c r="E6" s="43" t="s">
        <v>67</v>
      </c>
      <c r="F6" s="2"/>
      <c r="G6" s="9"/>
      <c r="H6" s="2"/>
      <c r="I6" s="42" t="s">
        <v>68</v>
      </c>
      <c r="J6" s="11" t="s">
        <v>69</v>
      </c>
      <c r="K6" s="11"/>
      <c r="L6" s="47">
        <v>0.2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2"/>
      <c r="C7" s="8" t="s">
        <v>70</v>
      </c>
      <c r="D7" s="3">
        <v>3000.0</v>
      </c>
      <c r="E7" s="43" t="s">
        <v>71</v>
      </c>
      <c r="F7" s="2"/>
      <c r="G7" s="9">
        <v>15000.0</v>
      </c>
      <c r="H7" s="2"/>
      <c r="I7" s="16" t="s">
        <v>72</v>
      </c>
      <c r="J7" s="48" t="s">
        <v>58</v>
      </c>
      <c r="K7" s="48"/>
      <c r="L7" s="4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 t="s">
        <v>1</v>
      </c>
      <c r="B8" s="3">
        <v>128000.0</v>
      </c>
      <c r="C8" s="24" t="s">
        <v>73</v>
      </c>
      <c r="D8" s="50">
        <v>3000.0</v>
      </c>
      <c r="E8" s="51"/>
      <c r="F8" s="51"/>
      <c r="G8" s="5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 t="s">
        <v>2</v>
      </c>
      <c r="B9" s="3">
        <f>B8*12</f>
        <v>1536000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 t="s">
        <v>74</v>
      </c>
      <c r="B10" s="3">
        <v>80000.0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 t="s">
        <v>75</v>
      </c>
      <c r="B11" s="3">
        <f>B10*12</f>
        <v>960000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 t="s">
        <v>76</v>
      </c>
      <c r="B12" s="3">
        <f>B9-B11</f>
        <v>576000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 t="s">
        <v>77</v>
      </c>
      <c r="B14" s="3">
        <f>B12*3</f>
        <v>1728000</v>
      </c>
      <c r="C14" s="2" t="s">
        <v>78</v>
      </c>
      <c r="D14" s="3">
        <v>55000.0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3"/>
      <c r="C15" s="2"/>
      <c r="D15" s="3">
        <v>73000.0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3"/>
      <c r="C16" s="2"/>
      <c r="D16" s="3">
        <f>SUM(D14:D15)</f>
        <v>128000</v>
      </c>
      <c r="E16" s="3">
        <f>D16*13</f>
        <v>1664000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 t="s">
        <v>79</v>
      </c>
      <c r="B19" s="3">
        <f>(D19+D20)*2%</f>
        <v>56000</v>
      </c>
      <c r="C19" s="10" t="s">
        <v>80</v>
      </c>
      <c r="D19" s="53">
        <v>2800000.0</v>
      </c>
      <c r="E19" s="2" t="s">
        <v>68</v>
      </c>
      <c r="F19" s="2"/>
      <c r="G19" s="2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3"/>
      <c r="C20" s="54" t="s">
        <v>81</v>
      </c>
      <c r="D20" s="18">
        <v>0.0</v>
      </c>
      <c r="E20" s="2" t="s">
        <v>68</v>
      </c>
      <c r="F20" s="2"/>
      <c r="G20" s="2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 t="s">
        <v>82</v>
      </c>
      <c r="B21" s="3">
        <f>D21*0.15</f>
        <v>750000</v>
      </c>
      <c r="C21" s="2" t="s">
        <v>83</v>
      </c>
      <c r="D21" s="3">
        <v>5000000.0</v>
      </c>
      <c r="E21" s="2" t="s">
        <v>68</v>
      </c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 t="s">
        <v>84</v>
      </c>
      <c r="B22" s="3">
        <f>D22*0.2</f>
        <v>4000000</v>
      </c>
      <c r="C22" s="21" t="s">
        <v>85</v>
      </c>
      <c r="D22" s="3">
        <v>2.0E7</v>
      </c>
      <c r="E22" s="2" t="s">
        <v>68</v>
      </c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 t="s">
        <v>86</v>
      </c>
      <c r="B23" s="3">
        <v>200000.0</v>
      </c>
      <c r="C23" s="2" t="s">
        <v>87</v>
      </c>
      <c r="D23" s="3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 t="s">
        <v>9</v>
      </c>
      <c r="B24" s="3">
        <f>SUM(B19:B22)-B23</f>
        <v>4606000</v>
      </c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3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 t="s">
        <v>23</v>
      </c>
      <c r="B27" s="55">
        <f>B24/B12</f>
        <v>7.996527778</v>
      </c>
      <c r="C27" s="2" t="s">
        <v>88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5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6" t="s">
        <v>25</v>
      </c>
      <c r="B29" s="27" t="s">
        <v>26</v>
      </c>
      <c r="C29" s="27" t="s">
        <v>27</v>
      </c>
      <c r="D29" s="27" t="s">
        <v>3</v>
      </c>
      <c r="E29" s="27" t="s">
        <v>89</v>
      </c>
      <c r="F29" s="27" t="s">
        <v>29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7">
        <v>3.0</v>
      </c>
      <c r="B30" s="28">
        <v>0.05</v>
      </c>
      <c r="C30" s="3">
        <f>B12*A30</f>
        <v>1728000</v>
      </c>
      <c r="D30" s="3">
        <f>B14</f>
        <v>1728000</v>
      </c>
      <c r="E30" s="3">
        <f>B24-B14</f>
        <v>2878000</v>
      </c>
      <c r="F30" s="14">
        <f t="shared" ref="F30:F37" si="1">E30*B30</f>
        <v>143900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7">
        <v>4.0</v>
      </c>
      <c r="B31" s="28">
        <v>0.07</v>
      </c>
      <c r="C31" s="3">
        <f>B12*A31</f>
        <v>2304000</v>
      </c>
      <c r="D31" s="3">
        <f>B14</f>
        <v>1728000</v>
      </c>
      <c r="E31" s="3">
        <f t="shared" ref="E31:E32" si="2">E30</f>
        <v>2878000</v>
      </c>
      <c r="F31" s="14">
        <f t="shared" si="1"/>
        <v>201460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7">
        <v>5.0</v>
      </c>
      <c r="B32" s="28">
        <v>0.09</v>
      </c>
      <c r="C32" s="3">
        <f>B12*A32</f>
        <v>2880000</v>
      </c>
      <c r="D32" s="3">
        <f>B14</f>
        <v>1728000</v>
      </c>
      <c r="E32" s="3">
        <f t="shared" si="2"/>
        <v>2878000</v>
      </c>
      <c r="F32" s="14">
        <f t="shared" si="1"/>
        <v>259020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7">
        <v>6.0</v>
      </c>
      <c r="B33" s="28">
        <v>0.11</v>
      </c>
      <c r="C33" s="3">
        <f>B12*A33</f>
        <v>3456000</v>
      </c>
      <c r="D33" s="3">
        <f t="shared" ref="D33:E33" si="3">D32</f>
        <v>1728000</v>
      </c>
      <c r="E33" s="3">
        <f t="shared" si="3"/>
        <v>2878000</v>
      </c>
      <c r="F33" s="14">
        <f t="shared" si="1"/>
        <v>316580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0">
        <v>7.0</v>
      </c>
      <c r="B34" s="31">
        <v>0.13</v>
      </c>
      <c r="C34" s="32">
        <f>B12*A34</f>
        <v>4032000</v>
      </c>
      <c r="D34" s="32">
        <f>D32</f>
        <v>1728000</v>
      </c>
      <c r="E34" s="32">
        <f t="shared" ref="E34:E37" si="4">E33</f>
        <v>2878000</v>
      </c>
      <c r="F34" s="56">
        <f t="shared" si="1"/>
        <v>374140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7">
        <v>8.0</v>
      </c>
      <c r="B35" s="28">
        <v>0.15</v>
      </c>
      <c r="C35" s="3">
        <f>B12*A35</f>
        <v>4608000</v>
      </c>
      <c r="D35" s="3">
        <f>D32</f>
        <v>1728000</v>
      </c>
      <c r="E35" s="3">
        <f t="shared" si="4"/>
        <v>2878000</v>
      </c>
      <c r="F35" s="14">
        <f t="shared" si="1"/>
        <v>431700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7">
        <v>9.0</v>
      </c>
      <c r="B36" s="28">
        <v>0.175</v>
      </c>
      <c r="C36" s="3">
        <f>B12*A36</f>
        <v>5184000</v>
      </c>
      <c r="D36" s="3">
        <f>D32</f>
        <v>1728000</v>
      </c>
      <c r="E36" s="3">
        <f t="shared" si="4"/>
        <v>2878000</v>
      </c>
      <c r="F36" s="14">
        <f t="shared" si="1"/>
        <v>503650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7">
        <v>10.0</v>
      </c>
      <c r="B37" s="34">
        <v>0.2</v>
      </c>
      <c r="C37" s="3">
        <f>B12*A37</f>
        <v>5760000</v>
      </c>
      <c r="D37" s="3">
        <f>D32</f>
        <v>1728000</v>
      </c>
      <c r="E37" s="3">
        <f t="shared" si="4"/>
        <v>2878000</v>
      </c>
      <c r="F37" s="14">
        <f t="shared" si="1"/>
        <v>575600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7" t="s">
        <v>30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6" t="s">
        <v>31</v>
      </c>
      <c r="B40" s="29" t="s">
        <v>90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6"/>
      <c r="B41" s="2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7" t="s">
        <v>91</v>
      </c>
      <c r="C42" s="27" t="s">
        <v>34</v>
      </c>
      <c r="D42" s="27" t="s">
        <v>35</v>
      </c>
      <c r="E42" s="27" t="s">
        <v>92</v>
      </c>
      <c r="F42" s="27" t="s">
        <v>37</v>
      </c>
      <c r="G42" s="27" t="s">
        <v>93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7" t="s">
        <v>39</v>
      </c>
      <c r="B43" s="3">
        <v>128000.0</v>
      </c>
      <c r="C43" s="2">
        <v>7.0</v>
      </c>
      <c r="D43" s="2">
        <f>SQRT(C43)</f>
        <v>2.645751311</v>
      </c>
      <c r="E43" s="2">
        <f>D43*10</f>
        <v>26.45751311</v>
      </c>
      <c r="F43" s="2">
        <f>B43*(100+E43)%</f>
        <v>161865.6168</v>
      </c>
      <c r="G43" s="35">
        <v>161900.0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6" t="s">
        <v>40</v>
      </c>
      <c r="B47" s="2" t="s">
        <v>41</v>
      </c>
      <c r="C47" s="27" t="s">
        <v>42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 t="s">
        <v>43</v>
      </c>
      <c r="C48" s="27" t="s">
        <v>42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 t="s">
        <v>44</v>
      </c>
      <c r="C49" s="27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7" t="s">
        <v>91</v>
      </c>
      <c r="C51" s="27" t="s">
        <v>34</v>
      </c>
      <c r="D51" s="2" t="s">
        <v>45</v>
      </c>
      <c r="E51" s="27" t="s">
        <v>37</v>
      </c>
      <c r="F51" s="27" t="s">
        <v>42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7" t="s">
        <v>46</v>
      </c>
      <c r="B52" s="3">
        <v>35000.0</v>
      </c>
      <c r="C52" s="3">
        <v>2.3</v>
      </c>
      <c r="D52" s="36">
        <v>0.05</v>
      </c>
      <c r="E52" s="3">
        <f>B52*(100%-D52)</f>
        <v>33250</v>
      </c>
      <c r="F52" s="3">
        <v>33000.0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/>
  <pageMargins bottom="0.11811023622047245" footer="0.0" header="0.0" left="0.11811023622047245" right="0.11811023622047245" top="0.11811023622047245"/>
  <pageSetup paperSize="9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44"/>
    <col customWidth="1" min="2" max="2" width="10.67"/>
    <col customWidth="1" min="3" max="3" width="11.56"/>
    <col customWidth="1" min="4" max="4" width="11.78"/>
    <col customWidth="1" min="5" max="6" width="6.89"/>
    <col customWidth="1" min="7" max="7" width="8.33"/>
    <col customWidth="1" min="8" max="8" width="25.11"/>
    <col customWidth="1" min="9" max="9" width="13.44"/>
    <col customWidth="1" min="10" max="12" width="9.89"/>
    <col customWidth="1" min="13" max="13" width="8.67"/>
    <col customWidth="1" min="14" max="26" width="6.78"/>
  </cols>
  <sheetData>
    <row r="1" ht="16.5" customHeight="1">
      <c r="A1" s="1" t="s">
        <v>94</v>
      </c>
      <c r="B1" s="2"/>
      <c r="C1" s="2"/>
      <c r="D1" s="2"/>
      <c r="E1" s="2"/>
      <c r="F1" s="2"/>
      <c r="G1" s="2"/>
      <c r="H1" s="2"/>
      <c r="I1" s="26"/>
      <c r="J1" s="26"/>
      <c r="K1" s="2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1" t="s">
        <v>95</v>
      </c>
      <c r="B2" s="2"/>
      <c r="C2" s="2"/>
      <c r="D2" s="2"/>
      <c r="E2" s="2"/>
      <c r="F2" s="2"/>
      <c r="G2" s="2"/>
      <c r="H2" s="2"/>
      <c r="I2" s="26" t="s">
        <v>96</v>
      </c>
      <c r="J2" s="26" t="s">
        <v>97</v>
      </c>
      <c r="K2" s="26" t="s">
        <v>98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99</v>
      </c>
      <c r="B3" s="2"/>
      <c r="C3" s="2"/>
      <c r="D3" s="2"/>
      <c r="E3" s="2"/>
      <c r="F3" s="2"/>
      <c r="G3" s="2"/>
      <c r="H3" s="1" t="s">
        <v>100</v>
      </c>
      <c r="I3" s="57"/>
      <c r="J3" s="34">
        <v>0.008</v>
      </c>
      <c r="K3" s="58">
        <f>J3*I3</f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101</v>
      </c>
      <c r="B4" s="2"/>
      <c r="C4" s="2"/>
      <c r="D4" s="2"/>
      <c r="E4" s="2"/>
      <c r="F4" s="2"/>
      <c r="G4" s="2"/>
      <c r="H4" s="2"/>
      <c r="I4" s="57"/>
      <c r="J4" s="2"/>
      <c r="K4" s="5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102</v>
      </c>
      <c r="B5" s="2"/>
      <c r="C5" s="2"/>
      <c r="D5" s="2"/>
      <c r="E5" s="2"/>
      <c r="F5" s="2"/>
      <c r="G5" s="2"/>
      <c r="H5" s="26" t="s">
        <v>103</v>
      </c>
      <c r="I5" s="57"/>
      <c r="J5" s="2"/>
      <c r="K5" s="5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104</v>
      </c>
      <c r="B6" s="2"/>
      <c r="C6" s="2"/>
      <c r="D6" s="2"/>
      <c r="E6" s="2"/>
      <c r="F6" s="2"/>
      <c r="G6" s="2"/>
      <c r="H6" s="27" t="s">
        <v>105</v>
      </c>
      <c r="I6" s="57"/>
      <c r="J6" s="34">
        <v>0.001</v>
      </c>
      <c r="K6" s="57">
        <f t="shared" ref="K6:K8" si="1">J6*I6</f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7" t="s">
        <v>106</v>
      </c>
      <c r="I7" s="57"/>
      <c r="J7" s="34">
        <v>0.0015</v>
      </c>
      <c r="K7" s="57">
        <f t="shared" si="1"/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1" t="s">
        <v>107</v>
      </c>
      <c r="B8" s="2"/>
      <c r="C8" s="2"/>
      <c r="D8" s="2"/>
      <c r="E8" s="2"/>
      <c r="F8" s="2"/>
      <c r="G8" s="2"/>
      <c r="H8" s="27" t="s">
        <v>108</v>
      </c>
      <c r="I8" s="57"/>
      <c r="J8" s="34">
        <v>0.002</v>
      </c>
      <c r="K8" s="57">
        <f t="shared" si="1"/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 t="s">
        <v>109</v>
      </c>
      <c r="B9" s="2"/>
      <c r="C9" s="2"/>
      <c r="D9" s="2"/>
      <c r="E9" s="2"/>
      <c r="F9" s="2"/>
      <c r="G9" s="2"/>
      <c r="H9" s="2"/>
      <c r="I9" s="57"/>
      <c r="J9" s="27" t="s">
        <v>110</v>
      </c>
      <c r="K9" s="58">
        <f>SUM(K6:K8)</f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6" t="s">
        <v>111</v>
      </c>
      <c r="B10" s="26" t="s">
        <v>112</v>
      </c>
      <c r="C10" s="2"/>
      <c r="D10" s="2"/>
      <c r="E10" s="2"/>
      <c r="F10" s="2"/>
      <c r="G10" s="2"/>
      <c r="H10" s="26" t="s">
        <v>113</v>
      </c>
      <c r="I10" s="57"/>
      <c r="J10" s="2"/>
      <c r="K10" s="5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7" t="s">
        <v>105</v>
      </c>
      <c r="B11" s="34">
        <v>0.001</v>
      </c>
      <c r="C11" s="2"/>
      <c r="D11" s="2"/>
      <c r="E11" s="2"/>
      <c r="F11" s="2"/>
      <c r="G11" s="2"/>
      <c r="H11" s="27" t="s">
        <v>105</v>
      </c>
      <c r="I11" s="57"/>
      <c r="J11" s="34">
        <v>0.002</v>
      </c>
      <c r="K11" s="57">
        <f t="shared" ref="K11:K13" si="2">J11*I11</f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7" t="s">
        <v>114</v>
      </c>
      <c r="B12" s="34">
        <v>0.0015</v>
      </c>
      <c r="C12" s="2"/>
      <c r="D12" s="2"/>
      <c r="E12" s="2"/>
      <c r="F12" s="2"/>
      <c r="G12" s="2"/>
      <c r="H12" s="27" t="s">
        <v>106</v>
      </c>
      <c r="I12" s="57"/>
      <c r="J12" s="34">
        <v>0.0025</v>
      </c>
      <c r="K12" s="57">
        <f t="shared" si="2"/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7" t="s">
        <v>115</v>
      </c>
      <c r="B13" s="34">
        <v>0.002</v>
      </c>
      <c r="C13" s="2"/>
      <c r="D13" s="2"/>
      <c r="E13" s="2"/>
      <c r="F13" s="2"/>
      <c r="G13" s="2"/>
      <c r="H13" s="27" t="s">
        <v>108</v>
      </c>
      <c r="I13" s="57"/>
      <c r="J13" s="34">
        <v>0.003</v>
      </c>
      <c r="K13" s="57">
        <f t="shared" si="2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57"/>
      <c r="J14" s="27" t="s">
        <v>110</v>
      </c>
      <c r="K14" s="58">
        <f>SUM(K11:K13)</f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 t="s">
        <v>116</v>
      </c>
      <c r="B15" s="2"/>
      <c r="C15" s="2"/>
      <c r="D15" s="2"/>
      <c r="E15" s="2"/>
      <c r="F15" s="2"/>
      <c r="G15" s="2"/>
      <c r="H15" s="26" t="s">
        <v>117</v>
      </c>
      <c r="I15" s="57"/>
      <c r="J15" s="59"/>
      <c r="K15" s="5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6" t="s">
        <v>111</v>
      </c>
      <c r="B16" s="26" t="s">
        <v>112</v>
      </c>
      <c r="C16" s="2"/>
      <c r="D16" s="2"/>
      <c r="E16" s="2"/>
      <c r="F16" s="2"/>
      <c r="G16" s="2"/>
      <c r="H16" s="26" t="s">
        <v>118</v>
      </c>
      <c r="I16" s="60"/>
      <c r="J16" s="2"/>
      <c r="K16" s="5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7" t="s">
        <v>105</v>
      </c>
      <c r="B17" s="34">
        <v>0.002</v>
      </c>
      <c r="C17" s="2"/>
      <c r="D17" s="2"/>
      <c r="E17" s="2"/>
      <c r="F17" s="2"/>
      <c r="G17" s="2"/>
      <c r="H17" s="27" t="s">
        <v>119</v>
      </c>
      <c r="I17" s="57"/>
      <c r="J17" s="28">
        <v>0.025</v>
      </c>
      <c r="K17" s="57">
        <f t="shared" ref="K17:K19" si="3">J17*I17</f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7" t="s">
        <v>114</v>
      </c>
      <c r="B18" s="34">
        <v>0.0025</v>
      </c>
      <c r="C18" s="2"/>
      <c r="D18" s="2"/>
      <c r="E18" s="2"/>
      <c r="F18" s="2"/>
      <c r="G18" s="2"/>
      <c r="H18" s="27" t="s">
        <v>120</v>
      </c>
      <c r="I18" s="57"/>
      <c r="J18" s="28">
        <v>0.015</v>
      </c>
      <c r="K18" s="57">
        <f t="shared" si="3"/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7" t="s">
        <v>115</v>
      </c>
      <c r="B19" s="34">
        <v>0.003</v>
      </c>
      <c r="C19" s="2"/>
      <c r="D19" s="2"/>
      <c r="E19" s="2"/>
      <c r="F19" s="2"/>
      <c r="G19" s="2"/>
      <c r="H19" s="27" t="s">
        <v>121</v>
      </c>
      <c r="I19" s="57"/>
      <c r="J19" s="34">
        <v>0.0075</v>
      </c>
      <c r="K19" s="57">
        <f t="shared" si="3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57"/>
      <c r="J20" s="27" t="s">
        <v>110</v>
      </c>
      <c r="K20" s="58">
        <f>SUM(K17:K19)</f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57"/>
      <c r="J21" s="2"/>
      <c r="K21" s="5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" t="s">
        <v>122</v>
      </c>
      <c r="B22" s="2"/>
      <c r="C22" s="2"/>
      <c r="D22" s="2"/>
      <c r="E22" s="2"/>
      <c r="F22" s="2"/>
      <c r="G22" s="2"/>
      <c r="H22" s="26" t="s">
        <v>123</v>
      </c>
      <c r="I22" s="57"/>
      <c r="J22" s="2"/>
      <c r="K22" s="61">
        <f>K3+K9+K14+K20</f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 t="s">
        <v>124</v>
      </c>
      <c r="B23" s="2"/>
      <c r="C23" s="2"/>
      <c r="D23" s="2"/>
      <c r="E23" s="2"/>
      <c r="F23" s="2"/>
      <c r="G23" s="2"/>
      <c r="H23" s="2"/>
      <c r="I23" s="57"/>
      <c r="J23" s="2"/>
      <c r="K23" s="5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6" t="s">
        <v>125</v>
      </c>
      <c r="B24" s="26" t="s">
        <v>126</v>
      </c>
      <c r="C24" s="2"/>
      <c r="D24" s="2"/>
      <c r="E24" s="2"/>
      <c r="F24" s="2"/>
      <c r="G24" s="2"/>
      <c r="H24" s="2"/>
      <c r="I24" s="2"/>
      <c r="J24" s="2"/>
      <c r="K24" s="5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7" t="s">
        <v>127</v>
      </c>
      <c r="B25" s="26">
        <v>2.0</v>
      </c>
      <c r="C25" s="2"/>
      <c r="D25" s="2"/>
      <c r="E25" s="2"/>
      <c r="F25" s="2"/>
      <c r="G25" s="2"/>
      <c r="H25" s="26" t="s">
        <v>128</v>
      </c>
      <c r="I25" s="26" t="s">
        <v>129</v>
      </c>
      <c r="J25" s="26" t="s">
        <v>130</v>
      </c>
      <c r="K25" s="60" t="s">
        <v>131</v>
      </c>
      <c r="L25" s="26" t="s">
        <v>132</v>
      </c>
      <c r="M25" s="26" t="s">
        <v>133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7" t="s">
        <v>134</v>
      </c>
      <c r="B26" s="26">
        <v>1.0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7" t="s">
        <v>135</v>
      </c>
      <c r="B27" s="62">
        <v>-1.0</v>
      </c>
      <c r="C27" s="2"/>
      <c r="D27" s="2"/>
      <c r="E27" s="2"/>
      <c r="F27" s="2"/>
      <c r="G27" s="2"/>
      <c r="H27" s="26" t="s">
        <v>136</v>
      </c>
      <c r="I27" s="63">
        <v>0.4</v>
      </c>
      <c r="J27" s="63">
        <v>0.2</v>
      </c>
      <c r="K27" s="63">
        <v>0.2</v>
      </c>
      <c r="L27" s="63">
        <v>0.2</v>
      </c>
      <c r="M27" s="36">
        <f>SUM(I27:L27)</f>
        <v>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7" t="s">
        <v>137</v>
      </c>
      <c r="B28" s="62">
        <v>-2.0</v>
      </c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 t="s">
        <v>138</v>
      </c>
      <c r="B29" s="2"/>
      <c r="C29" s="2"/>
      <c r="D29" s="2"/>
      <c r="E29" s="2"/>
      <c r="F29" s="2"/>
      <c r="G29" s="2"/>
      <c r="H29" s="26" t="s">
        <v>139</v>
      </c>
      <c r="I29" s="27"/>
      <c r="J29" s="64">
        <f>'會計一(2025年績效檢核)'!C62</f>
        <v>0</v>
      </c>
      <c r="K29" s="64">
        <f>'會計二(2025年績效檢核)'!C62</f>
        <v>0</v>
      </c>
      <c r="L29" s="64">
        <f>'會計三(2025年績效檢核)'!C62</f>
        <v>0</v>
      </c>
      <c r="M29" s="2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6" t="s">
        <v>140</v>
      </c>
      <c r="B30" s="26" t="s">
        <v>141</v>
      </c>
      <c r="C30" s="2"/>
      <c r="D30" s="2"/>
      <c r="E30" s="2"/>
      <c r="F30" s="2"/>
      <c r="G30" s="2"/>
      <c r="H30" s="1"/>
      <c r="I30" s="27"/>
      <c r="J30" s="27"/>
      <c r="K30" s="27"/>
      <c r="L30" s="27"/>
      <c r="M30" s="2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7" t="s">
        <v>142</v>
      </c>
      <c r="B31" s="62">
        <v>-3.0</v>
      </c>
      <c r="C31" s="2"/>
      <c r="D31" s="2"/>
      <c r="E31" s="2"/>
      <c r="F31" s="2"/>
      <c r="G31" s="2"/>
      <c r="H31" s="26" t="s">
        <v>143</v>
      </c>
      <c r="I31" s="63"/>
      <c r="J31" s="27"/>
      <c r="K31" s="27"/>
      <c r="L31" s="27"/>
      <c r="M31" s="2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7" t="s">
        <v>144</v>
      </c>
      <c r="B32" s="62">
        <v>-2.0</v>
      </c>
      <c r="C32" s="2"/>
      <c r="D32" s="2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7" t="s">
        <v>145</v>
      </c>
      <c r="B33" s="62">
        <v>-1.0</v>
      </c>
      <c r="C33" s="2"/>
      <c r="D33" s="2"/>
      <c r="E33" s="2"/>
      <c r="F33" s="2"/>
      <c r="G33" s="2"/>
      <c r="H33" s="26" t="s">
        <v>146</v>
      </c>
      <c r="I33" s="63">
        <f t="shared" ref="I33:L33" si="4">I27+I31</f>
        <v>0.4</v>
      </c>
      <c r="J33" s="63">
        <f t="shared" si="4"/>
        <v>0.2</v>
      </c>
      <c r="K33" s="63">
        <f t="shared" si="4"/>
        <v>0.2</v>
      </c>
      <c r="L33" s="63">
        <f t="shared" si="4"/>
        <v>0.2</v>
      </c>
      <c r="M33" s="36">
        <f>SUM(I33:L33)</f>
        <v>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6" t="s">
        <v>147</v>
      </c>
      <c r="I35" s="57">
        <f t="shared" ref="I35:L35" si="5">$K$22/$M$33*I33</f>
        <v>0</v>
      </c>
      <c r="J35" s="57">
        <f t="shared" si="5"/>
        <v>0</v>
      </c>
      <c r="K35" s="57">
        <f t="shared" si="5"/>
        <v>0</v>
      </c>
      <c r="L35" s="57">
        <f t="shared" si="5"/>
        <v>0</v>
      </c>
      <c r="M35" s="57">
        <f>SUM(I35:L35)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1" t="s">
        <v>148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 t="s">
        <v>149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 t="s">
        <v>150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 t="s">
        <v>151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 t="s">
        <v>152</v>
      </c>
      <c r="B40" s="2"/>
      <c r="C40" s="2"/>
      <c r="D40" s="2"/>
      <c r="E40" s="2"/>
      <c r="F40" s="2"/>
      <c r="G40" s="2"/>
      <c r="H40" s="26" t="s">
        <v>153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6" t="s">
        <v>140</v>
      </c>
      <c r="B41" s="26" t="s">
        <v>141</v>
      </c>
      <c r="C41" s="2"/>
      <c r="D41" s="2"/>
      <c r="E41" s="2"/>
      <c r="F41" s="2"/>
      <c r="G41" s="2"/>
      <c r="H41" s="27" t="s">
        <v>141</v>
      </c>
      <c r="I41" s="27" t="s">
        <v>154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7" t="s">
        <v>142</v>
      </c>
      <c r="B42" s="62">
        <v>-3.0</v>
      </c>
      <c r="C42" s="2"/>
      <c r="D42" s="2"/>
      <c r="E42" s="2"/>
      <c r="F42" s="2"/>
      <c r="G42" s="2"/>
      <c r="H42" s="27" t="s">
        <v>155</v>
      </c>
      <c r="I42" s="63">
        <v>-0.02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7" t="s">
        <v>144</v>
      </c>
      <c r="B43" s="62">
        <v>-2.0</v>
      </c>
      <c r="C43" s="2"/>
      <c r="D43" s="2"/>
      <c r="E43" s="2"/>
      <c r="F43" s="2"/>
      <c r="G43" s="2"/>
      <c r="H43" s="27" t="s">
        <v>156</v>
      </c>
      <c r="I43" s="63">
        <v>-0.05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7" t="s">
        <v>145</v>
      </c>
      <c r="B44" s="62">
        <v>-1.0</v>
      </c>
      <c r="C44" s="2"/>
      <c r="D44" s="2"/>
      <c r="E44" s="2"/>
      <c r="F44" s="2"/>
      <c r="G44" s="2"/>
      <c r="H44" s="65" t="s">
        <v>157</v>
      </c>
      <c r="I44" s="63">
        <v>-0.1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7" t="s">
        <v>158</v>
      </c>
      <c r="I45" s="63">
        <v>-0.2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1" t="s">
        <v>159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 t="s">
        <v>160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 t="s">
        <v>161</v>
      </c>
      <c r="B48" s="2"/>
      <c r="C48" s="2"/>
      <c r="D48" s="2"/>
      <c r="E48" s="2"/>
      <c r="F48" s="2"/>
      <c r="G48" s="2"/>
      <c r="H48" s="27" t="s">
        <v>162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6" t="s">
        <v>118</v>
      </c>
      <c r="B49" s="26" t="s">
        <v>112</v>
      </c>
      <c r="C49" s="2"/>
      <c r="D49" s="2"/>
      <c r="E49" s="2"/>
      <c r="F49" s="2"/>
      <c r="G49" s="2"/>
      <c r="H49" s="27" t="s">
        <v>155</v>
      </c>
      <c r="I49" s="63">
        <v>0.02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7" t="s">
        <v>119</v>
      </c>
      <c r="B50" s="28">
        <v>0.025</v>
      </c>
      <c r="C50" s="2"/>
      <c r="D50" s="2"/>
      <c r="E50" s="2"/>
      <c r="F50" s="2"/>
      <c r="G50" s="2"/>
      <c r="H50" s="27" t="s">
        <v>156</v>
      </c>
      <c r="I50" s="63">
        <v>0.05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7" t="s">
        <v>120</v>
      </c>
      <c r="B51" s="28">
        <v>0.015</v>
      </c>
      <c r="C51" s="2"/>
      <c r="D51" s="2"/>
      <c r="E51" s="2"/>
      <c r="F51" s="2"/>
      <c r="G51" s="2"/>
      <c r="H51" s="65" t="s">
        <v>157</v>
      </c>
      <c r="I51" s="63">
        <v>0.1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 t="s">
        <v>121</v>
      </c>
      <c r="B52" s="34">
        <v>0.0075</v>
      </c>
      <c r="C52" s="2"/>
      <c r="D52" s="2"/>
      <c r="E52" s="2"/>
      <c r="F52" s="2"/>
      <c r="G52" s="2"/>
      <c r="H52" s="27" t="s">
        <v>158</v>
      </c>
      <c r="I52" s="63">
        <v>0.2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66" t="s">
        <v>163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55" t="s">
        <v>164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" t="s">
        <v>165</v>
      </c>
      <c r="B55" s="2"/>
      <c r="C55" s="2"/>
      <c r="D55" s="2"/>
      <c r="E55" s="2"/>
      <c r="F55" s="2"/>
      <c r="G55" s="2"/>
      <c r="H55" s="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 t="s">
        <v>166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 t="s">
        <v>167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 t="s">
        <v>168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 t="s">
        <v>169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" t="s">
        <v>170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 t="s">
        <v>171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 t="s">
        <v>172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" t="s">
        <v>173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" t="s">
        <v>174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 t="s">
        <v>175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 t="s">
        <v>176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 t="s">
        <v>177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 t="s">
        <v>178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1" t="s">
        <v>179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6.78"/>
    <col customWidth="1" min="2" max="2" width="53.67"/>
    <col customWidth="1" min="3" max="3" width="10.11"/>
    <col customWidth="1" min="4" max="26" width="6.78"/>
  </cols>
  <sheetData>
    <row r="1" ht="15.75" customHeight="1">
      <c r="A1" s="67" t="s">
        <v>180</v>
      </c>
      <c r="B1" s="68" t="s">
        <v>181</v>
      </c>
      <c r="C1" s="69" t="s">
        <v>182</v>
      </c>
    </row>
    <row r="2" ht="15.75" customHeight="1">
      <c r="C2" s="70"/>
    </row>
    <row r="3" ht="15.75" customHeight="1">
      <c r="C3" s="70"/>
    </row>
    <row r="4" ht="15.75" customHeight="1">
      <c r="C4" s="70"/>
    </row>
    <row r="5" ht="15.75" customHeight="1">
      <c r="C5" s="70"/>
    </row>
    <row r="6" ht="15.75" customHeight="1">
      <c r="C6" s="70"/>
    </row>
    <row r="7" ht="15.75" customHeight="1">
      <c r="C7" s="70"/>
    </row>
    <row r="8" ht="15.75" customHeight="1">
      <c r="C8" s="70"/>
    </row>
    <row r="9" ht="15.75" customHeight="1">
      <c r="C9" s="70"/>
    </row>
    <row r="10" ht="15.75" customHeight="1">
      <c r="C10" s="70"/>
    </row>
    <row r="11" ht="15.75" customHeight="1">
      <c r="C11" s="70"/>
    </row>
    <row r="12" ht="15.75" customHeight="1">
      <c r="C12" s="70"/>
    </row>
    <row r="13" ht="15.75" customHeight="1">
      <c r="C13" s="70"/>
    </row>
    <row r="14" ht="15.75" customHeight="1">
      <c r="C14" s="70"/>
    </row>
    <row r="15" ht="15.75" customHeight="1">
      <c r="A15" s="71" t="s">
        <v>183</v>
      </c>
      <c r="B15" s="68" t="s">
        <v>110</v>
      </c>
      <c r="C15" s="72">
        <f>SUM(C2:C14)</f>
        <v>0</v>
      </c>
    </row>
    <row r="16" ht="15.75" customHeight="1">
      <c r="C16" s="70"/>
    </row>
    <row r="17" ht="15.75" customHeight="1">
      <c r="C17" s="70"/>
    </row>
    <row r="18" ht="15.75" customHeight="1">
      <c r="C18" s="70"/>
    </row>
    <row r="19" ht="15.75" customHeight="1">
      <c r="C19" s="70"/>
    </row>
    <row r="20" ht="15.75" customHeight="1">
      <c r="C20" s="70"/>
    </row>
    <row r="21" ht="15.75" customHeight="1">
      <c r="C21" s="70"/>
    </row>
    <row r="22" ht="15.75" customHeight="1">
      <c r="C22" s="70"/>
    </row>
    <row r="23" ht="15.75" customHeight="1">
      <c r="C23" s="70"/>
    </row>
    <row r="24" ht="15.75" customHeight="1">
      <c r="C24" s="70"/>
    </row>
    <row r="25" ht="15.75" customHeight="1">
      <c r="C25" s="70"/>
    </row>
    <row r="26" ht="15.75" customHeight="1">
      <c r="C26" s="70"/>
    </row>
    <row r="27" ht="15.75" customHeight="1">
      <c r="C27" s="70"/>
    </row>
    <row r="28" ht="15.75" customHeight="1">
      <c r="C28" s="70"/>
    </row>
    <row r="29" ht="15.75" customHeight="1">
      <c r="A29" s="71" t="s">
        <v>184</v>
      </c>
      <c r="B29" s="68" t="s">
        <v>110</v>
      </c>
      <c r="C29" s="72">
        <f>SUM(C16:C28)</f>
        <v>0</v>
      </c>
    </row>
    <row r="30" ht="15.75" customHeight="1">
      <c r="C30" s="70"/>
    </row>
    <row r="31" ht="15.75" customHeight="1">
      <c r="C31" s="70"/>
    </row>
    <row r="32" ht="15.75" customHeight="1">
      <c r="C32" s="70"/>
    </row>
    <row r="33" ht="15.75" customHeight="1">
      <c r="C33" s="70"/>
    </row>
    <row r="34" ht="15.75" customHeight="1">
      <c r="C34" s="70"/>
    </row>
    <row r="35" ht="15.75" customHeight="1">
      <c r="C35" s="70"/>
    </row>
    <row r="36" ht="15.75" customHeight="1">
      <c r="C36" s="70"/>
    </row>
    <row r="37" ht="15.75" customHeight="1">
      <c r="C37" s="70"/>
    </row>
    <row r="38" ht="15.75" customHeight="1">
      <c r="C38" s="70"/>
    </row>
    <row r="39" ht="15.75" customHeight="1">
      <c r="C39" s="70"/>
    </row>
    <row r="40" ht="15.75" customHeight="1">
      <c r="C40" s="70"/>
    </row>
    <row r="41" ht="15.75" customHeight="1">
      <c r="C41" s="70"/>
    </row>
    <row r="42" ht="15.75" customHeight="1">
      <c r="C42" s="70"/>
    </row>
    <row r="43" ht="15.75" customHeight="1">
      <c r="C43" s="70"/>
    </row>
    <row r="44" ht="15.75" customHeight="1">
      <c r="A44" s="71" t="s">
        <v>185</v>
      </c>
      <c r="B44" s="68" t="s">
        <v>110</v>
      </c>
      <c r="C44" s="72">
        <f>SUM(C30:C43)</f>
        <v>0</v>
      </c>
    </row>
    <row r="45" ht="15.75" customHeight="1">
      <c r="C45" s="70"/>
    </row>
    <row r="46" ht="15.75" customHeight="1">
      <c r="C46" s="70"/>
    </row>
    <row r="47" ht="15.75" customHeight="1">
      <c r="C47" s="70"/>
    </row>
    <row r="48" ht="15.75" customHeight="1">
      <c r="C48" s="70"/>
    </row>
    <row r="49" ht="15.75" customHeight="1">
      <c r="C49" s="70"/>
    </row>
    <row r="50" ht="15.75" customHeight="1">
      <c r="C50" s="70"/>
    </row>
    <row r="51" ht="15.75" customHeight="1">
      <c r="C51" s="70"/>
    </row>
    <row r="52" ht="15.75" customHeight="1">
      <c r="C52" s="70"/>
    </row>
    <row r="53" ht="15.75" customHeight="1">
      <c r="C53" s="70"/>
    </row>
    <row r="54" ht="15.75" customHeight="1">
      <c r="C54" s="70"/>
    </row>
    <row r="55" ht="15.75" customHeight="1">
      <c r="C55" s="70"/>
    </row>
    <row r="56" ht="15.75" customHeight="1">
      <c r="C56" s="70"/>
    </row>
    <row r="57" ht="15.75" customHeight="1">
      <c r="C57" s="70"/>
    </row>
    <row r="58" ht="15.75" customHeight="1">
      <c r="C58" s="70"/>
    </row>
    <row r="59" ht="15.75" customHeight="1">
      <c r="C59" s="70"/>
    </row>
    <row r="60" ht="15.75" customHeight="1">
      <c r="A60" s="71" t="s">
        <v>186</v>
      </c>
      <c r="B60" s="68" t="s">
        <v>110</v>
      </c>
      <c r="C60" s="72">
        <f>SUM(C45:C59)</f>
        <v>0</v>
      </c>
    </row>
    <row r="61" ht="15.75" customHeight="1">
      <c r="C61" s="70"/>
    </row>
    <row r="62" ht="15.75" customHeight="1">
      <c r="A62" s="71" t="s">
        <v>187</v>
      </c>
      <c r="B62" s="68" t="s">
        <v>146</v>
      </c>
      <c r="C62" s="72">
        <f>C15+C29+C44+C60</f>
        <v>0</v>
      </c>
    </row>
    <row r="63" ht="15.75" customHeight="1">
      <c r="C63" s="70"/>
    </row>
    <row r="64" ht="15.75" customHeight="1">
      <c r="C64" s="70"/>
    </row>
    <row r="65" ht="15.75" customHeight="1">
      <c r="C65" s="70"/>
    </row>
    <row r="66" ht="15.75" customHeight="1">
      <c r="C66" s="70"/>
    </row>
    <row r="67" ht="15.75" customHeight="1">
      <c r="C67" s="70"/>
    </row>
    <row r="68" ht="15.75" customHeight="1">
      <c r="C68" s="70"/>
    </row>
    <row r="69" ht="15.75" customHeight="1">
      <c r="C69" s="70"/>
    </row>
    <row r="70" ht="15.75" customHeight="1">
      <c r="C70" s="70"/>
    </row>
    <row r="71" ht="15.75" customHeight="1">
      <c r="C71" s="70"/>
    </row>
    <row r="72" ht="15.75" customHeight="1">
      <c r="C72" s="70"/>
    </row>
    <row r="73" ht="15.75" customHeight="1">
      <c r="C73" s="70"/>
    </row>
    <row r="74" ht="15.75" customHeight="1">
      <c r="C74" s="70"/>
    </row>
    <row r="75" ht="15.75" customHeight="1">
      <c r="C75" s="70"/>
    </row>
    <row r="76" ht="15.75" customHeight="1">
      <c r="C76" s="70"/>
    </row>
    <row r="77" ht="15.75" customHeight="1">
      <c r="C77" s="70"/>
    </row>
    <row r="78" ht="15.75" customHeight="1">
      <c r="C78" s="70"/>
    </row>
    <row r="79" ht="15.75" customHeight="1">
      <c r="C79" s="70"/>
    </row>
    <row r="80" ht="15.75" customHeight="1">
      <c r="C80" s="70"/>
    </row>
    <row r="81" ht="15.75" customHeight="1">
      <c r="C81" s="70"/>
    </row>
    <row r="82" ht="15.75" customHeight="1">
      <c r="C82" s="70"/>
    </row>
    <row r="83" ht="15.75" customHeight="1">
      <c r="C83" s="70"/>
    </row>
    <row r="84" ht="15.75" customHeight="1">
      <c r="C84" s="70"/>
    </row>
    <row r="85" ht="15.75" customHeight="1">
      <c r="C85" s="70"/>
    </row>
    <row r="86" ht="15.75" customHeight="1">
      <c r="C86" s="70"/>
    </row>
    <row r="87" ht="15.75" customHeight="1">
      <c r="C87" s="70"/>
    </row>
    <row r="88" ht="15.75" customHeight="1">
      <c r="C88" s="70"/>
    </row>
    <row r="89" ht="15.75" customHeight="1">
      <c r="C89" s="70"/>
    </row>
    <row r="90" ht="15.75" customHeight="1">
      <c r="C90" s="70"/>
    </row>
    <row r="91" ht="15.75" customHeight="1">
      <c r="C91" s="70"/>
    </row>
    <row r="92" ht="15.75" customHeight="1">
      <c r="C92" s="70"/>
    </row>
    <row r="93" ht="15.75" customHeight="1">
      <c r="C93" s="70"/>
    </row>
    <row r="94" ht="15.75" customHeight="1">
      <c r="C94" s="70"/>
    </row>
    <row r="95" ht="15.75" customHeight="1">
      <c r="C95" s="70"/>
    </row>
    <row r="96" ht="15.75" customHeight="1">
      <c r="C96" s="70"/>
    </row>
    <row r="97" ht="15.75" customHeight="1">
      <c r="C97" s="70"/>
    </row>
    <row r="98" ht="15.75" customHeight="1">
      <c r="C98" s="70"/>
    </row>
    <row r="99" ht="15.75" customHeight="1">
      <c r="C99" s="70"/>
    </row>
    <row r="100" ht="15.75" customHeight="1">
      <c r="C100" s="70"/>
    </row>
    <row r="101" ht="15.75" customHeight="1">
      <c r="C101" s="70"/>
    </row>
    <row r="102" ht="15.75" customHeight="1">
      <c r="C102" s="70"/>
    </row>
    <row r="103" ht="15.75" customHeight="1">
      <c r="C103" s="70"/>
    </row>
    <row r="104" ht="15.75" customHeight="1">
      <c r="C104" s="70"/>
    </row>
    <row r="105" ht="15.75" customHeight="1">
      <c r="C105" s="70"/>
    </row>
    <row r="106" ht="15.75" customHeight="1">
      <c r="C106" s="70"/>
    </row>
    <row r="107" ht="15.75" customHeight="1">
      <c r="C107" s="70"/>
    </row>
    <row r="108" ht="15.75" customHeight="1">
      <c r="C108" s="70"/>
    </row>
    <row r="109" ht="15.75" customHeight="1">
      <c r="C109" s="70"/>
    </row>
    <row r="110" ht="15.75" customHeight="1">
      <c r="C110" s="70"/>
    </row>
    <row r="111" ht="15.75" customHeight="1">
      <c r="C111" s="70"/>
    </row>
    <row r="112" ht="15.75" customHeight="1">
      <c r="C112" s="70"/>
    </row>
    <row r="113" ht="15.75" customHeight="1">
      <c r="C113" s="70"/>
    </row>
    <row r="114" ht="15.75" customHeight="1">
      <c r="C114" s="70"/>
    </row>
    <row r="115" ht="15.75" customHeight="1">
      <c r="C115" s="70"/>
    </row>
    <row r="116" ht="15.75" customHeight="1">
      <c r="C116" s="70"/>
    </row>
    <row r="117" ht="15.75" customHeight="1">
      <c r="C117" s="70"/>
    </row>
    <row r="118" ht="15.75" customHeight="1">
      <c r="C118" s="70"/>
    </row>
    <row r="119" ht="15.75" customHeight="1">
      <c r="C119" s="70"/>
    </row>
    <row r="120" ht="15.75" customHeight="1">
      <c r="C120" s="70"/>
    </row>
    <row r="121" ht="15.75" customHeight="1">
      <c r="C121" s="70"/>
    </row>
    <row r="122" ht="15.75" customHeight="1">
      <c r="C122" s="70"/>
    </row>
    <row r="123" ht="15.75" customHeight="1">
      <c r="C123" s="70"/>
    </row>
    <row r="124" ht="15.75" customHeight="1">
      <c r="C124" s="70"/>
    </row>
    <row r="125" ht="15.75" customHeight="1">
      <c r="C125" s="70"/>
    </row>
    <row r="126" ht="15.75" customHeight="1">
      <c r="C126" s="70"/>
    </row>
    <row r="127" ht="15.75" customHeight="1">
      <c r="C127" s="70"/>
    </row>
    <row r="128" ht="15.75" customHeight="1">
      <c r="C128" s="70"/>
    </row>
    <row r="129" ht="15.75" customHeight="1">
      <c r="C129" s="70"/>
    </row>
    <row r="130" ht="15.75" customHeight="1">
      <c r="C130" s="70"/>
    </row>
    <row r="131" ht="15.75" customHeight="1">
      <c r="C131" s="70"/>
    </row>
    <row r="132" ht="15.75" customHeight="1">
      <c r="C132" s="70"/>
    </row>
    <row r="133" ht="15.75" customHeight="1">
      <c r="C133" s="70"/>
    </row>
    <row r="134" ht="15.75" customHeight="1">
      <c r="C134" s="70"/>
    </row>
    <row r="135" ht="15.75" customHeight="1">
      <c r="C135" s="70"/>
    </row>
    <row r="136" ht="15.75" customHeight="1">
      <c r="C136" s="70"/>
    </row>
    <row r="137" ht="15.75" customHeight="1">
      <c r="C137" s="70"/>
    </row>
    <row r="138" ht="15.75" customHeight="1">
      <c r="C138" s="70"/>
    </row>
    <row r="139" ht="15.75" customHeight="1">
      <c r="C139" s="70"/>
    </row>
    <row r="140" ht="15.75" customHeight="1">
      <c r="C140" s="70"/>
    </row>
    <row r="141" ht="15.75" customHeight="1">
      <c r="C141" s="70"/>
    </row>
    <row r="142" ht="15.75" customHeight="1">
      <c r="C142" s="70"/>
    </row>
    <row r="143" ht="15.75" customHeight="1">
      <c r="C143" s="70"/>
    </row>
    <row r="144" ht="15.75" customHeight="1">
      <c r="C144" s="70"/>
    </row>
    <row r="145" ht="15.75" customHeight="1">
      <c r="C145" s="70"/>
    </row>
    <row r="146" ht="15.75" customHeight="1">
      <c r="C146" s="70"/>
    </row>
    <row r="147" ht="15.75" customHeight="1">
      <c r="C147" s="70"/>
    </row>
    <row r="148" ht="15.75" customHeight="1">
      <c r="C148" s="70"/>
    </row>
    <row r="149" ht="15.75" customHeight="1">
      <c r="C149" s="70"/>
    </row>
    <row r="150" ht="15.75" customHeight="1">
      <c r="C150" s="70"/>
    </row>
    <row r="151" ht="15.75" customHeight="1">
      <c r="C151" s="70"/>
    </row>
    <row r="152" ht="15.75" customHeight="1">
      <c r="C152" s="70"/>
    </row>
    <row r="153" ht="15.75" customHeight="1">
      <c r="C153" s="70"/>
    </row>
    <row r="154" ht="15.75" customHeight="1">
      <c r="C154" s="70"/>
    </row>
    <row r="155" ht="15.75" customHeight="1">
      <c r="C155" s="70"/>
    </row>
    <row r="156" ht="15.75" customHeight="1">
      <c r="C156" s="70"/>
    </row>
    <row r="157" ht="15.75" customHeight="1">
      <c r="C157" s="70"/>
    </row>
    <row r="158" ht="15.75" customHeight="1">
      <c r="C158" s="70"/>
    </row>
    <row r="159" ht="15.75" customHeight="1">
      <c r="C159" s="70"/>
    </row>
    <row r="160" ht="15.75" customHeight="1">
      <c r="C160" s="70"/>
    </row>
    <row r="161" ht="15.75" customHeight="1">
      <c r="C161" s="70"/>
    </row>
    <row r="162" ht="15.75" customHeight="1">
      <c r="C162" s="70"/>
    </row>
    <row r="163" ht="15.75" customHeight="1">
      <c r="C163" s="70"/>
    </row>
    <row r="164" ht="15.75" customHeight="1">
      <c r="C164" s="70"/>
    </row>
    <row r="165" ht="15.75" customHeight="1">
      <c r="C165" s="70"/>
    </row>
    <row r="166" ht="15.75" customHeight="1">
      <c r="C166" s="70"/>
    </row>
    <row r="167" ht="15.75" customHeight="1">
      <c r="C167" s="70"/>
    </row>
    <row r="168" ht="15.75" customHeight="1">
      <c r="C168" s="70"/>
    </row>
    <row r="169" ht="15.75" customHeight="1">
      <c r="C169" s="70"/>
    </row>
    <row r="170" ht="15.75" customHeight="1">
      <c r="C170" s="70"/>
    </row>
    <row r="171" ht="15.75" customHeight="1">
      <c r="C171" s="70"/>
    </row>
    <row r="172" ht="15.75" customHeight="1">
      <c r="C172" s="70"/>
    </row>
    <row r="173" ht="15.75" customHeight="1">
      <c r="C173" s="70"/>
    </row>
    <row r="174" ht="15.75" customHeight="1">
      <c r="C174" s="70"/>
    </row>
    <row r="175" ht="15.75" customHeight="1">
      <c r="C175" s="70"/>
    </row>
    <row r="176" ht="15.75" customHeight="1">
      <c r="C176" s="70"/>
    </row>
    <row r="177" ht="15.75" customHeight="1">
      <c r="C177" s="70"/>
    </row>
    <row r="178" ht="15.75" customHeight="1">
      <c r="C178" s="70"/>
    </row>
    <row r="179" ht="15.75" customHeight="1">
      <c r="C179" s="70"/>
    </row>
    <row r="180" ht="15.75" customHeight="1">
      <c r="C180" s="70"/>
    </row>
    <row r="181" ht="15.75" customHeight="1">
      <c r="C181" s="70"/>
    </row>
    <row r="182" ht="15.75" customHeight="1">
      <c r="C182" s="70"/>
    </row>
    <row r="183" ht="15.75" customHeight="1">
      <c r="C183" s="70"/>
    </row>
    <row r="184" ht="15.75" customHeight="1">
      <c r="C184" s="70"/>
    </row>
    <row r="185" ht="15.75" customHeight="1">
      <c r="C185" s="70"/>
    </row>
    <row r="186" ht="15.75" customHeight="1">
      <c r="C186" s="70"/>
    </row>
    <row r="187" ht="15.75" customHeight="1">
      <c r="C187" s="70"/>
    </row>
    <row r="188" ht="15.75" customHeight="1">
      <c r="C188" s="70"/>
    </row>
    <row r="189" ht="15.75" customHeight="1">
      <c r="C189" s="70"/>
    </row>
    <row r="190" ht="15.75" customHeight="1">
      <c r="C190" s="70"/>
    </row>
    <row r="191" ht="15.75" customHeight="1">
      <c r="C191" s="70"/>
    </row>
    <row r="192" ht="15.75" customHeight="1">
      <c r="C192" s="70"/>
    </row>
    <row r="193" ht="15.75" customHeight="1">
      <c r="C193" s="70"/>
    </row>
    <row r="194" ht="15.75" customHeight="1">
      <c r="C194" s="70"/>
    </row>
    <row r="195" ht="15.75" customHeight="1">
      <c r="C195" s="70"/>
    </row>
    <row r="196" ht="15.75" customHeight="1">
      <c r="C196" s="70"/>
    </row>
    <row r="197" ht="15.75" customHeight="1">
      <c r="C197" s="70"/>
    </row>
    <row r="198" ht="15.75" customHeight="1">
      <c r="C198" s="70"/>
    </row>
    <row r="199" ht="15.75" customHeight="1">
      <c r="C199" s="70"/>
    </row>
    <row r="200" ht="15.75" customHeight="1">
      <c r="C200" s="70"/>
    </row>
    <row r="201" ht="15.75" customHeight="1">
      <c r="C201" s="70"/>
    </row>
    <row r="202" ht="15.75" customHeight="1">
      <c r="C202" s="70"/>
    </row>
    <row r="203" ht="15.75" customHeight="1">
      <c r="C203" s="70"/>
    </row>
    <row r="204" ht="15.75" customHeight="1">
      <c r="C204" s="70"/>
    </row>
    <row r="205" ht="15.75" customHeight="1">
      <c r="C205" s="70"/>
    </row>
    <row r="206" ht="15.75" customHeight="1">
      <c r="C206" s="70"/>
    </row>
    <row r="207" ht="15.75" customHeight="1">
      <c r="C207" s="70"/>
    </row>
    <row r="208" ht="15.75" customHeight="1">
      <c r="C208" s="70"/>
    </row>
    <row r="209" ht="15.75" customHeight="1">
      <c r="C209" s="70"/>
    </row>
    <row r="210" ht="15.75" customHeight="1">
      <c r="C210" s="70"/>
    </row>
    <row r="211" ht="15.75" customHeight="1">
      <c r="C211" s="70"/>
    </row>
    <row r="212" ht="15.75" customHeight="1">
      <c r="C212" s="70"/>
    </row>
    <row r="213" ht="15.75" customHeight="1">
      <c r="C213" s="70"/>
    </row>
    <row r="214" ht="15.75" customHeight="1">
      <c r="C214" s="70"/>
    </row>
    <row r="215" ht="15.75" customHeight="1">
      <c r="C215" s="70"/>
    </row>
    <row r="216" ht="15.75" customHeight="1">
      <c r="C216" s="70"/>
    </row>
    <row r="217" ht="15.75" customHeight="1">
      <c r="C217" s="70"/>
    </row>
    <row r="218" ht="15.75" customHeight="1">
      <c r="C218" s="70"/>
    </row>
    <row r="219" ht="15.75" customHeight="1">
      <c r="C219" s="70"/>
    </row>
    <row r="220" ht="15.75" customHeight="1">
      <c r="C220" s="70"/>
    </row>
    <row r="221" ht="15.75" customHeight="1">
      <c r="C221" s="70"/>
    </row>
    <row r="222" ht="15.75" customHeight="1">
      <c r="C222" s="70"/>
    </row>
    <row r="223" ht="15.75" customHeight="1">
      <c r="C223" s="70"/>
    </row>
    <row r="224" ht="15.75" customHeight="1">
      <c r="C224" s="70"/>
    </row>
    <row r="225" ht="15.75" customHeight="1">
      <c r="C225" s="70"/>
    </row>
    <row r="226" ht="15.75" customHeight="1">
      <c r="C226" s="70"/>
    </row>
    <row r="227" ht="15.75" customHeight="1">
      <c r="C227" s="70"/>
    </row>
    <row r="228" ht="15.75" customHeight="1">
      <c r="C228" s="70"/>
    </row>
    <row r="229" ht="15.75" customHeight="1">
      <c r="C229" s="70"/>
    </row>
    <row r="230" ht="15.75" customHeight="1">
      <c r="C230" s="70"/>
    </row>
    <row r="231" ht="15.75" customHeight="1">
      <c r="C231" s="70"/>
    </row>
    <row r="232" ht="15.75" customHeight="1">
      <c r="C232" s="70"/>
    </row>
    <row r="233" ht="15.75" customHeight="1">
      <c r="C233" s="70"/>
    </row>
    <row r="234" ht="15.75" customHeight="1">
      <c r="C234" s="70"/>
    </row>
    <row r="235" ht="15.75" customHeight="1">
      <c r="C235" s="70"/>
    </row>
    <row r="236" ht="15.75" customHeight="1">
      <c r="C236" s="70"/>
    </row>
    <row r="237" ht="15.75" customHeight="1">
      <c r="C237" s="70"/>
    </row>
    <row r="238" ht="15.75" customHeight="1">
      <c r="C238" s="70"/>
    </row>
    <row r="239" ht="15.75" customHeight="1">
      <c r="C239" s="70"/>
    </row>
    <row r="240" ht="15.75" customHeight="1">
      <c r="C240" s="70"/>
    </row>
    <row r="241" ht="15.75" customHeight="1">
      <c r="C241" s="70"/>
    </row>
    <row r="242" ht="15.75" customHeight="1">
      <c r="C242" s="70"/>
    </row>
    <row r="243" ht="15.75" customHeight="1">
      <c r="C243" s="70"/>
    </row>
    <row r="244" ht="15.75" customHeight="1">
      <c r="C244" s="70"/>
    </row>
    <row r="245" ht="15.75" customHeight="1">
      <c r="C245" s="70"/>
    </row>
    <row r="246" ht="15.75" customHeight="1">
      <c r="C246" s="70"/>
    </row>
    <row r="247" ht="15.75" customHeight="1">
      <c r="C247" s="70"/>
    </row>
    <row r="248" ht="15.75" customHeight="1">
      <c r="C248" s="70"/>
    </row>
    <row r="249" ht="15.75" customHeight="1">
      <c r="C249" s="70"/>
    </row>
    <row r="250" ht="15.75" customHeight="1">
      <c r="C250" s="70"/>
    </row>
    <row r="251" ht="15.75" customHeight="1">
      <c r="C251" s="70"/>
    </row>
    <row r="252" ht="15.75" customHeight="1">
      <c r="C252" s="70"/>
    </row>
    <row r="253" ht="15.75" customHeight="1">
      <c r="C253" s="70"/>
    </row>
    <row r="254" ht="15.75" customHeight="1">
      <c r="C254" s="70"/>
    </row>
    <row r="255" ht="15.75" customHeight="1">
      <c r="C255" s="70"/>
    </row>
    <row r="256" ht="15.75" customHeight="1">
      <c r="C256" s="70"/>
    </row>
    <row r="257" ht="15.75" customHeight="1">
      <c r="C257" s="70"/>
    </row>
    <row r="258" ht="15.75" customHeight="1">
      <c r="C258" s="70"/>
    </row>
    <row r="259" ht="15.75" customHeight="1">
      <c r="C259" s="70"/>
    </row>
    <row r="260" ht="15.75" customHeight="1">
      <c r="C260" s="70"/>
    </row>
    <row r="261" ht="15.75" customHeight="1">
      <c r="C261" s="70"/>
    </row>
    <row r="262" ht="15.75" customHeight="1">
      <c r="C262" s="70"/>
    </row>
    <row r="263" ht="15.75" customHeight="1">
      <c r="C263" s="70"/>
    </row>
    <row r="264" ht="15.75" customHeight="1">
      <c r="C264" s="70"/>
    </row>
    <row r="265" ht="15.75" customHeight="1">
      <c r="C265" s="70"/>
    </row>
    <row r="266" ht="15.75" customHeight="1">
      <c r="C266" s="70"/>
    </row>
    <row r="267" ht="15.75" customHeight="1">
      <c r="C267" s="70"/>
    </row>
    <row r="268" ht="15.75" customHeight="1">
      <c r="C268" s="70"/>
    </row>
    <row r="269" ht="15.75" customHeight="1">
      <c r="C269" s="70"/>
    </row>
    <row r="270" ht="15.75" customHeight="1">
      <c r="C270" s="70"/>
    </row>
    <row r="271" ht="15.75" customHeight="1">
      <c r="C271" s="70"/>
    </row>
    <row r="272" ht="15.75" customHeight="1">
      <c r="C272" s="70"/>
    </row>
    <row r="273" ht="15.75" customHeight="1">
      <c r="C273" s="70"/>
    </row>
    <row r="274" ht="15.75" customHeight="1">
      <c r="C274" s="70"/>
    </row>
    <row r="275" ht="15.75" customHeight="1">
      <c r="C275" s="70"/>
    </row>
    <row r="276" ht="15.75" customHeight="1">
      <c r="C276" s="70"/>
    </row>
    <row r="277" ht="15.75" customHeight="1">
      <c r="C277" s="70"/>
    </row>
    <row r="278" ht="15.75" customHeight="1">
      <c r="C278" s="70"/>
    </row>
    <row r="279" ht="15.75" customHeight="1">
      <c r="C279" s="70"/>
    </row>
    <row r="280" ht="15.75" customHeight="1">
      <c r="C280" s="70"/>
    </row>
    <row r="281" ht="15.75" customHeight="1">
      <c r="C281" s="70"/>
    </row>
    <row r="282" ht="15.75" customHeight="1">
      <c r="C282" s="70"/>
    </row>
    <row r="283" ht="15.75" customHeight="1">
      <c r="C283" s="70"/>
    </row>
    <row r="284" ht="15.75" customHeight="1">
      <c r="C284" s="70"/>
    </row>
    <row r="285" ht="15.75" customHeight="1">
      <c r="C285" s="70"/>
    </row>
    <row r="286" ht="15.75" customHeight="1">
      <c r="C286" s="70"/>
    </row>
    <row r="287" ht="15.75" customHeight="1">
      <c r="C287" s="70"/>
    </row>
    <row r="288" ht="15.75" customHeight="1">
      <c r="C288" s="70"/>
    </row>
    <row r="289" ht="15.75" customHeight="1">
      <c r="C289" s="70"/>
    </row>
    <row r="290" ht="15.75" customHeight="1">
      <c r="C290" s="70"/>
    </row>
    <row r="291" ht="15.75" customHeight="1">
      <c r="C291" s="70"/>
    </row>
    <row r="292" ht="15.75" customHeight="1">
      <c r="C292" s="70"/>
    </row>
    <row r="293" ht="15.75" customHeight="1">
      <c r="C293" s="70"/>
    </row>
    <row r="294" ht="15.75" customHeight="1">
      <c r="C294" s="70"/>
    </row>
    <row r="295" ht="15.75" customHeight="1">
      <c r="C295" s="70"/>
    </row>
    <row r="296" ht="15.75" customHeight="1">
      <c r="C296" s="70"/>
    </row>
    <row r="297" ht="15.75" customHeight="1">
      <c r="C297" s="70"/>
    </row>
    <row r="298" ht="15.75" customHeight="1">
      <c r="C298" s="70"/>
    </row>
    <row r="299" ht="15.75" customHeight="1">
      <c r="C299" s="70"/>
    </row>
    <row r="300" ht="15.75" customHeight="1">
      <c r="C300" s="70"/>
    </row>
    <row r="301" ht="15.75" customHeight="1">
      <c r="C301" s="70"/>
    </row>
    <row r="302" ht="15.75" customHeight="1">
      <c r="C302" s="70"/>
    </row>
    <row r="303" ht="15.75" customHeight="1">
      <c r="C303" s="70"/>
    </row>
    <row r="304" ht="15.75" customHeight="1">
      <c r="C304" s="70"/>
    </row>
    <row r="305" ht="15.75" customHeight="1">
      <c r="C305" s="70"/>
    </row>
    <row r="306" ht="15.75" customHeight="1">
      <c r="C306" s="70"/>
    </row>
    <row r="307" ht="15.75" customHeight="1">
      <c r="C307" s="70"/>
    </row>
    <row r="308" ht="15.75" customHeight="1">
      <c r="C308" s="70"/>
    </row>
    <row r="309" ht="15.75" customHeight="1">
      <c r="C309" s="70"/>
    </row>
    <row r="310" ht="15.75" customHeight="1">
      <c r="C310" s="70"/>
    </row>
    <row r="311" ht="15.75" customHeight="1">
      <c r="C311" s="70"/>
    </row>
    <row r="312" ht="15.75" customHeight="1">
      <c r="C312" s="70"/>
    </row>
    <row r="313" ht="15.75" customHeight="1">
      <c r="C313" s="70"/>
    </row>
    <row r="314" ht="15.75" customHeight="1">
      <c r="C314" s="70"/>
    </row>
    <row r="315" ht="15.75" customHeight="1">
      <c r="C315" s="70"/>
    </row>
    <row r="316" ht="15.75" customHeight="1">
      <c r="C316" s="70"/>
    </row>
    <row r="317" ht="15.75" customHeight="1">
      <c r="C317" s="70"/>
    </row>
    <row r="318" ht="15.75" customHeight="1">
      <c r="C318" s="70"/>
    </row>
    <row r="319" ht="15.75" customHeight="1">
      <c r="C319" s="70"/>
    </row>
    <row r="320" ht="15.75" customHeight="1">
      <c r="C320" s="70"/>
    </row>
    <row r="321" ht="15.75" customHeight="1">
      <c r="C321" s="70"/>
    </row>
    <row r="322" ht="15.75" customHeight="1">
      <c r="C322" s="70"/>
    </row>
    <row r="323" ht="15.75" customHeight="1">
      <c r="C323" s="70"/>
    </row>
    <row r="324" ht="15.75" customHeight="1">
      <c r="C324" s="70"/>
    </row>
    <row r="325" ht="15.75" customHeight="1">
      <c r="C325" s="70"/>
    </row>
    <row r="326" ht="15.75" customHeight="1">
      <c r="C326" s="70"/>
    </row>
    <row r="327" ht="15.75" customHeight="1">
      <c r="C327" s="70"/>
    </row>
    <row r="328" ht="15.75" customHeight="1">
      <c r="C328" s="70"/>
    </row>
    <row r="329" ht="15.75" customHeight="1">
      <c r="C329" s="70"/>
    </row>
    <row r="330" ht="15.75" customHeight="1">
      <c r="C330" s="70"/>
    </row>
    <row r="331" ht="15.75" customHeight="1">
      <c r="C331" s="70"/>
    </row>
    <row r="332" ht="15.75" customHeight="1">
      <c r="C332" s="70"/>
    </row>
    <row r="333" ht="15.75" customHeight="1">
      <c r="C333" s="70"/>
    </row>
    <row r="334" ht="15.75" customHeight="1">
      <c r="C334" s="70"/>
    </row>
    <row r="335" ht="15.75" customHeight="1">
      <c r="C335" s="70"/>
    </row>
    <row r="336" ht="15.75" customHeight="1">
      <c r="C336" s="70"/>
    </row>
    <row r="337" ht="15.75" customHeight="1">
      <c r="C337" s="70"/>
    </row>
    <row r="338" ht="15.75" customHeight="1">
      <c r="C338" s="70"/>
    </row>
    <row r="339" ht="15.75" customHeight="1">
      <c r="C339" s="70"/>
    </row>
    <row r="340" ht="15.75" customHeight="1">
      <c r="C340" s="70"/>
    </row>
    <row r="341" ht="15.75" customHeight="1">
      <c r="C341" s="70"/>
    </row>
    <row r="342" ht="15.75" customHeight="1">
      <c r="C342" s="70"/>
    </row>
    <row r="343" ht="15.75" customHeight="1">
      <c r="C343" s="70"/>
    </row>
    <row r="344" ht="15.75" customHeight="1">
      <c r="C344" s="70"/>
    </row>
    <row r="345" ht="15.75" customHeight="1">
      <c r="C345" s="70"/>
    </row>
    <row r="346" ht="15.75" customHeight="1">
      <c r="C346" s="70"/>
    </row>
    <row r="347" ht="15.75" customHeight="1">
      <c r="C347" s="70"/>
    </row>
    <row r="348" ht="15.75" customHeight="1">
      <c r="C348" s="70"/>
    </row>
    <row r="349" ht="15.75" customHeight="1">
      <c r="C349" s="70"/>
    </row>
    <row r="350" ht="15.75" customHeight="1">
      <c r="C350" s="70"/>
    </row>
    <row r="351" ht="15.75" customHeight="1">
      <c r="C351" s="70"/>
    </row>
    <row r="352" ht="15.75" customHeight="1">
      <c r="C352" s="70"/>
    </row>
    <row r="353" ht="15.75" customHeight="1">
      <c r="C353" s="70"/>
    </row>
    <row r="354" ht="15.75" customHeight="1">
      <c r="C354" s="70"/>
    </row>
    <row r="355" ht="15.75" customHeight="1">
      <c r="C355" s="70"/>
    </row>
    <row r="356" ht="15.75" customHeight="1">
      <c r="C356" s="70"/>
    </row>
    <row r="357" ht="15.75" customHeight="1">
      <c r="C357" s="70"/>
    </row>
    <row r="358" ht="15.75" customHeight="1">
      <c r="C358" s="70"/>
    </row>
    <row r="359" ht="15.75" customHeight="1">
      <c r="C359" s="70"/>
    </row>
    <row r="360" ht="15.75" customHeight="1">
      <c r="C360" s="70"/>
    </row>
    <row r="361" ht="15.75" customHeight="1">
      <c r="C361" s="70"/>
    </row>
    <row r="362" ht="15.75" customHeight="1">
      <c r="C362" s="70"/>
    </row>
    <row r="363" ht="15.75" customHeight="1">
      <c r="C363" s="70"/>
    </row>
    <row r="364" ht="15.75" customHeight="1">
      <c r="C364" s="70"/>
    </row>
    <row r="365" ht="15.75" customHeight="1">
      <c r="C365" s="70"/>
    </row>
    <row r="366" ht="15.75" customHeight="1">
      <c r="C366" s="70"/>
    </row>
    <row r="367" ht="15.75" customHeight="1">
      <c r="C367" s="70"/>
    </row>
    <row r="368" ht="15.75" customHeight="1">
      <c r="C368" s="70"/>
    </row>
    <row r="369" ht="15.75" customHeight="1">
      <c r="C369" s="70"/>
    </row>
    <row r="370" ht="15.75" customHeight="1">
      <c r="C370" s="70"/>
    </row>
    <row r="371" ht="15.75" customHeight="1">
      <c r="C371" s="70"/>
    </row>
    <row r="372" ht="15.75" customHeight="1">
      <c r="C372" s="70"/>
    </row>
    <row r="373" ht="15.75" customHeight="1">
      <c r="C373" s="70"/>
    </row>
    <row r="374" ht="15.75" customHeight="1">
      <c r="C374" s="70"/>
    </row>
    <row r="375" ht="15.75" customHeight="1">
      <c r="C375" s="70"/>
    </row>
    <row r="376" ht="15.75" customHeight="1">
      <c r="C376" s="70"/>
    </row>
    <row r="377" ht="15.75" customHeight="1">
      <c r="C377" s="70"/>
    </row>
    <row r="378" ht="15.75" customHeight="1">
      <c r="C378" s="70"/>
    </row>
    <row r="379" ht="15.75" customHeight="1">
      <c r="C379" s="70"/>
    </row>
    <row r="380" ht="15.75" customHeight="1">
      <c r="C380" s="70"/>
    </row>
    <row r="381" ht="15.75" customHeight="1">
      <c r="C381" s="70"/>
    </row>
    <row r="382" ht="15.75" customHeight="1">
      <c r="C382" s="70"/>
    </row>
    <row r="383" ht="15.75" customHeight="1">
      <c r="C383" s="70"/>
    </row>
    <row r="384" ht="15.75" customHeight="1">
      <c r="C384" s="70"/>
    </row>
    <row r="385" ht="15.75" customHeight="1">
      <c r="C385" s="70"/>
    </row>
    <row r="386" ht="15.75" customHeight="1">
      <c r="C386" s="70"/>
    </row>
    <row r="387" ht="15.75" customHeight="1">
      <c r="C387" s="70"/>
    </row>
    <row r="388" ht="15.75" customHeight="1">
      <c r="C388" s="70"/>
    </row>
    <row r="389" ht="15.75" customHeight="1">
      <c r="C389" s="70"/>
    </row>
    <row r="390" ht="15.75" customHeight="1">
      <c r="C390" s="70"/>
    </row>
    <row r="391" ht="15.75" customHeight="1">
      <c r="C391" s="70"/>
    </row>
    <row r="392" ht="15.75" customHeight="1">
      <c r="C392" s="70"/>
    </row>
    <row r="393" ht="15.75" customHeight="1">
      <c r="C393" s="70"/>
    </row>
    <row r="394" ht="15.75" customHeight="1">
      <c r="C394" s="70"/>
    </row>
    <row r="395" ht="15.75" customHeight="1">
      <c r="C395" s="70"/>
    </row>
    <row r="396" ht="15.75" customHeight="1">
      <c r="C396" s="70"/>
    </row>
    <row r="397" ht="15.75" customHeight="1">
      <c r="C397" s="70"/>
    </row>
    <row r="398" ht="15.75" customHeight="1">
      <c r="C398" s="70"/>
    </row>
    <row r="399" ht="15.75" customHeight="1">
      <c r="C399" s="70"/>
    </row>
    <row r="400" ht="15.75" customHeight="1">
      <c r="C400" s="70"/>
    </row>
    <row r="401" ht="15.75" customHeight="1">
      <c r="C401" s="70"/>
    </row>
    <row r="402" ht="15.75" customHeight="1">
      <c r="C402" s="70"/>
    </row>
    <row r="403" ht="15.75" customHeight="1">
      <c r="C403" s="70"/>
    </row>
    <row r="404" ht="15.75" customHeight="1">
      <c r="C404" s="70"/>
    </row>
    <row r="405" ht="15.75" customHeight="1">
      <c r="C405" s="70"/>
    </row>
    <row r="406" ht="15.75" customHeight="1">
      <c r="C406" s="70"/>
    </row>
    <row r="407" ht="15.75" customHeight="1">
      <c r="C407" s="70"/>
    </row>
    <row r="408" ht="15.75" customHeight="1">
      <c r="C408" s="70"/>
    </row>
    <row r="409" ht="15.75" customHeight="1">
      <c r="C409" s="70"/>
    </row>
    <row r="410" ht="15.75" customHeight="1">
      <c r="C410" s="70"/>
    </row>
    <row r="411" ht="15.75" customHeight="1">
      <c r="C411" s="70"/>
    </row>
    <row r="412" ht="15.75" customHeight="1">
      <c r="C412" s="70"/>
    </row>
    <row r="413" ht="15.75" customHeight="1">
      <c r="C413" s="70"/>
    </row>
    <row r="414" ht="15.75" customHeight="1">
      <c r="C414" s="70"/>
    </row>
    <row r="415" ht="15.75" customHeight="1">
      <c r="C415" s="70"/>
    </row>
    <row r="416" ht="15.75" customHeight="1">
      <c r="C416" s="70"/>
    </row>
    <row r="417" ht="15.75" customHeight="1">
      <c r="C417" s="70"/>
    </row>
    <row r="418" ht="15.75" customHeight="1">
      <c r="C418" s="70"/>
    </row>
    <row r="419" ht="15.75" customHeight="1">
      <c r="C419" s="70"/>
    </row>
    <row r="420" ht="15.75" customHeight="1">
      <c r="C420" s="70"/>
    </row>
    <row r="421" ht="15.75" customHeight="1">
      <c r="C421" s="70"/>
    </row>
    <row r="422" ht="15.75" customHeight="1">
      <c r="C422" s="70"/>
    </row>
    <row r="423" ht="15.75" customHeight="1">
      <c r="C423" s="70"/>
    </row>
    <row r="424" ht="15.75" customHeight="1">
      <c r="C424" s="70"/>
    </row>
    <row r="425" ht="15.75" customHeight="1">
      <c r="C425" s="70"/>
    </row>
    <row r="426" ht="15.75" customHeight="1">
      <c r="C426" s="70"/>
    </row>
    <row r="427" ht="15.75" customHeight="1">
      <c r="C427" s="70"/>
    </row>
    <row r="428" ht="15.75" customHeight="1">
      <c r="C428" s="70"/>
    </row>
    <row r="429" ht="15.75" customHeight="1">
      <c r="C429" s="70"/>
    </row>
    <row r="430" ht="15.75" customHeight="1">
      <c r="C430" s="70"/>
    </row>
    <row r="431" ht="15.75" customHeight="1">
      <c r="C431" s="70"/>
    </row>
    <row r="432" ht="15.75" customHeight="1">
      <c r="C432" s="70"/>
    </row>
    <row r="433" ht="15.75" customHeight="1">
      <c r="C433" s="70"/>
    </row>
    <row r="434" ht="15.75" customHeight="1">
      <c r="C434" s="70"/>
    </row>
    <row r="435" ht="15.75" customHeight="1">
      <c r="C435" s="70"/>
    </row>
    <row r="436" ht="15.75" customHeight="1">
      <c r="C436" s="70"/>
    </row>
    <row r="437" ht="15.75" customHeight="1">
      <c r="C437" s="70"/>
    </row>
    <row r="438" ht="15.75" customHeight="1">
      <c r="C438" s="70"/>
    </row>
    <row r="439" ht="15.75" customHeight="1">
      <c r="C439" s="70"/>
    </row>
    <row r="440" ht="15.75" customHeight="1">
      <c r="C440" s="70"/>
    </row>
    <row r="441" ht="15.75" customHeight="1">
      <c r="C441" s="70"/>
    </row>
    <row r="442" ht="15.75" customHeight="1">
      <c r="C442" s="70"/>
    </row>
    <row r="443" ht="15.75" customHeight="1">
      <c r="C443" s="70"/>
    </row>
    <row r="444" ht="15.75" customHeight="1">
      <c r="C444" s="70"/>
    </row>
    <row r="445" ht="15.75" customHeight="1">
      <c r="C445" s="70"/>
    </row>
    <row r="446" ht="15.75" customHeight="1">
      <c r="C446" s="70"/>
    </row>
    <row r="447" ht="15.75" customHeight="1">
      <c r="C447" s="70"/>
    </row>
    <row r="448" ht="15.75" customHeight="1">
      <c r="C448" s="70"/>
    </row>
    <row r="449" ht="15.75" customHeight="1">
      <c r="C449" s="70"/>
    </row>
    <row r="450" ht="15.75" customHeight="1">
      <c r="C450" s="70"/>
    </row>
    <row r="451" ht="15.75" customHeight="1">
      <c r="C451" s="70"/>
    </row>
    <row r="452" ht="15.75" customHeight="1">
      <c r="C452" s="70"/>
    </row>
    <row r="453" ht="15.75" customHeight="1">
      <c r="C453" s="70"/>
    </row>
    <row r="454" ht="15.75" customHeight="1">
      <c r="C454" s="70"/>
    </row>
    <row r="455" ht="15.75" customHeight="1">
      <c r="C455" s="70"/>
    </row>
    <row r="456" ht="15.75" customHeight="1">
      <c r="C456" s="70"/>
    </row>
    <row r="457" ht="15.75" customHeight="1">
      <c r="C457" s="70"/>
    </row>
    <row r="458" ht="15.75" customHeight="1">
      <c r="C458" s="70"/>
    </row>
    <row r="459" ht="15.75" customHeight="1">
      <c r="C459" s="70"/>
    </row>
    <row r="460" ht="15.75" customHeight="1">
      <c r="C460" s="70"/>
    </row>
    <row r="461" ht="15.75" customHeight="1">
      <c r="C461" s="70"/>
    </row>
    <row r="462" ht="15.75" customHeight="1">
      <c r="C462" s="70"/>
    </row>
    <row r="463" ht="15.75" customHeight="1">
      <c r="C463" s="70"/>
    </row>
    <row r="464" ht="15.75" customHeight="1">
      <c r="C464" s="70"/>
    </row>
    <row r="465" ht="15.75" customHeight="1">
      <c r="C465" s="70"/>
    </row>
    <row r="466" ht="15.75" customHeight="1">
      <c r="C466" s="70"/>
    </row>
    <row r="467" ht="15.75" customHeight="1">
      <c r="C467" s="70"/>
    </row>
    <row r="468" ht="15.75" customHeight="1">
      <c r="C468" s="70"/>
    </row>
    <row r="469" ht="15.75" customHeight="1">
      <c r="C469" s="70"/>
    </row>
    <row r="470" ht="15.75" customHeight="1">
      <c r="C470" s="70"/>
    </row>
    <row r="471" ht="15.75" customHeight="1">
      <c r="C471" s="70"/>
    </row>
    <row r="472" ht="15.75" customHeight="1">
      <c r="C472" s="70"/>
    </row>
    <row r="473" ht="15.75" customHeight="1">
      <c r="C473" s="70"/>
    </row>
    <row r="474" ht="15.75" customHeight="1">
      <c r="C474" s="70"/>
    </row>
    <row r="475" ht="15.75" customHeight="1">
      <c r="C475" s="70"/>
    </row>
    <row r="476" ht="15.75" customHeight="1">
      <c r="C476" s="70"/>
    </row>
    <row r="477" ht="15.75" customHeight="1">
      <c r="C477" s="70"/>
    </row>
    <row r="478" ht="15.75" customHeight="1">
      <c r="C478" s="70"/>
    </row>
    <row r="479" ht="15.75" customHeight="1">
      <c r="C479" s="70"/>
    </row>
    <row r="480" ht="15.75" customHeight="1">
      <c r="C480" s="70"/>
    </row>
    <row r="481" ht="15.75" customHeight="1">
      <c r="C481" s="70"/>
    </row>
    <row r="482" ht="15.75" customHeight="1">
      <c r="C482" s="70"/>
    </row>
    <row r="483" ht="15.75" customHeight="1">
      <c r="C483" s="70"/>
    </row>
    <row r="484" ht="15.75" customHeight="1">
      <c r="C484" s="70"/>
    </row>
    <row r="485" ht="15.75" customHeight="1">
      <c r="C485" s="70"/>
    </row>
    <row r="486" ht="15.75" customHeight="1">
      <c r="C486" s="70"/>
    </row>
    <row r="487" ht="15.75" customHeight="1">
      <c r="C487" s="70"/>
    </row>
    <row r="488" ht="15.75" customHeight="1">
      <c r="C488" s="70"/>
    </row>
    <row r="489" ht="15.75" customHeight="1">
      <c r="C489" s="70"/>
    </row>
    <row r="490" ht="15.75" customHeight="1">
      <c r="C490" s="70"/>
    </row>
    <row r="491" ht="15.75" customHeight="1">
      <c r="C491" s="70"/>
    </row>
    <row r="492" ht="15.75" customHeight="1">
      <c r="C492" s="70"/>
    </row>
    <row r="493" ht="15.75" customHeight="1">
      <c r="C493" s="70"/>
    </row>
    <row r="494" ht="15.75" customHeight="1">
      <c r="C494" s="70"/>
    </row>
    <row r="495" ht="15.75" customHeight="1">
      <c r="C495" s="70"/>
    </row>
    <row r="496" ht="15.75" customHeight="1">
      <c r="C496" s="70"/>
    </row>
    <row r="497" ht="15.75" customHeight="1">
      <c r="C497" s="70"/>
    </row>
    <row r="498" ht="15.75" customHeight="1">
      <c r="C498" s="70"/>
    </row>
    <row r="499" ht="15.75" customHeight="1">
      <c r="C499" s="70"/>
    </row>
    <row r="500" ht="15.75" customHeight="1">
      <c r="C500" s="70"/>
    </row>
    <row r="501" ht="15.75" customHeight="1">
      <c r="C501" s="70"/>
    </row>
    <row r="502" ht="15.75" customHeight="1">
      <c r="C502" s="70"/>
    </row>
    <row r="503" ht="15.75" customHeight="1">
      <c r="C503" s="70"/>
    </row>
    <row r="504" ht="15.75" customHeight="1">
      <c r="C504" s="70"/>
    </row>
    <row r="505" ht="15.75" customHeight="1">
      <c r="C505" s="70"/>
    </row>
    <row r="506" ht="15.75" customHeight="1">
      <c r="C506" s="70"/>
    </row>
    <row r="507" ht="15.75" customHeight="1">
      <c r="C507" s="70"/>
    </row>
    <row r="508" ht="15.75" customHeight="1">
      <c r="C508" s="70"/>
    </row>
    <row r="509" ht="15.75" customHeight="1">
      <c r="C509" s="70"/>
    </row>
    <row r="510" ht="15.75" customHeight="1">
      <c r="C510" s="70"/>
    </row>
    <row r="511" ht="15.75" customHeight="1">
      <c r="C511" s="70"/>
    </row>
    <row r="512" ht="15.75" customHeight="1">
      <c r="C512" s="70"/>
    </row>
    <row r="513" ht="15.75" customHeight="1">
      <c r="C513" s="70"/>
    </row>
    <row r="514" ht="15.75" customHeight="1">
      <c r="C514" s="70"/>
    </row>
    <row r="515" ht="15.75" customHeight="1">
      <c r="C515" s="70"/>
    </row>
    <row r="516" ht="15.75" customHeight="1">
      <c r="C516" s="70"/>
    </row>
    <row r="517" ht="15.75" customHeight="1">
      <c r="C517" s="70"/>
    </row>
    <row r="518" ht="15.75" customHeight="1">
      <c r="C518" s="70"/>
    </row>
    <row r="519" ht="15.75" customHeight="1">
      <c r="C519" s="70"/>
    </row>
    <row r="520" ht="15.75" customHeight="1">
      <c r="C520" s="70"/>
    </row>
    <row r="521" ht="15.75" customHeight="1">
      <c r="C521" s="70"/>
    </row>
    <row r="522" ht="15.75" customHeight="1">
      <c r="C522" s="70"/>
    </row>
    <row r="523" ht="15.75" customHeight="1">
      <c r="C523" s="70"/>
    </row>
    <row r="524" ht="15.75" customHeight="1">
      <c r="C524" s="70"/>
    </row>
    <row r="525" ht="15.75" customHeight="1">
      <c r="C525" s="70"/>
    </row>
    <row r="526" ht="15.75" customHeight="1">
      <c r="C526" s="70"/>
    </row>
    <row r="527" ht="15.75" customHeight="1">
      <c r="C527" s="70"/>
    </row>
    <row r="528" ht="15.75" customHeight="1">
      <c r="C528" s="70"/>
    </row>
    <row r="529" ht="15.75" customHeight="1">
      <c r="C529" s="70"/>
    </row>
    <row r="530" ht="15.75" customHeight="1">
      <c r="C530" s="70"/>
    </row>
    <row r="531" ht="15.75" customHeight="1">
      <c r="C531" s="70"/>
    </row>
    <row r="532" ht="15.75" customHeight="1">
      <c r="C532" s="70"/>
    </row>
    <row r="533" ht="15.75" customHeight="1">
      <c r="C533" s="70"/>
    </row>
    <row r="534" ht="15.75" customHeight="1">
      <c r="C534" s="70"/>
    </row>
    <row r="535" ht="15.75" customHeight="1">
      <c r="C535" s="70"/>
    </row>
    <row r="536" ht="15.75" customHeight="1">
      <c r="C536" s="70"/>
    </row>
    <row r="537" ht="15.75" customHeight="1">
      <c r="C537" s="70"/>
    </row>
    <row r="538" ht="15.75" customHeight="1">
      <c r="C538" s="70"/>
    </row>
    <row r="539" ht="15.75" customHeight="1">
      <c r="C539" s="70"/>
    </row>
    <row r="540" ht="15.75" customHeight="1">
      <c r="C540" s="70"/>
    </row>
    <row r="541" ht="15.75" customHeight="1">
      <c r="C541" s="70"/>
    </row>
    <row r="542" ht="15.75" customHeight="1">
      <c r="C542" s="70"/>
    </row>
    <row r="543" ht="15.75" customHeight="1">
      <c r="C543" s="70"/>
    </row>
    <row r="544" ht="15.75" customHeight="1">
      <c r="C544" s="70"/>
    </row>
    <row r="545" ht="15.75" customHeight="1">
      <c r="C545" s="70"/>
    </row>
    <row r="546" ht="15.75" customHeight="1">
      <c r="C546" s="70"/>
    </row>
    <row r="547" ht="15.75" customHeight="1">
      <c r="C547" s="70"/>
    </row>
    <row r="548" ht="15.75" customHeight="1">
      <c r="C548" s="70"/>
    </row>
    <row r="549" ht="15.75" customHeight="1">
      <c r="C549" s="70"/>
    </row>
    <row r="550" ht="15.75" customHeight="1">
      <c r="C550" s="70"/>
    </row>
    <row r="551" ht="15.75" customHeight="1">
      <c r="C551" s="70"/>
    </row>
    <row r="552" ht="15.75" customHeight="1">
      <c r="C552" s="70"/>
    </row>
    <row r="553" ht="15.75" customHeight="1">
      <c r="C553" s="70"/>
    </row>
    <row r="554" ht="15.75" customHeight="1">
      <c r="C554" s="70"/>
    </row>
    <row r="555" ht="15.75" customHeight="1">
      <c r="C555" s="70"/>
    </row>
    <row r="556" ht="15.75" customHeight="1">
      <c r="C556" s="70"/>
    </row>
    <row r="557" ht="15.75" customHeight="1">
      <c r="C557" s="70"/>
    </row>
    <row r="558" ht="15.75" customHeight="1">
      <c r="C558" s="70"/>
    </row>
    <row r="559" ht="15.75" customHeight="1">
      <c r="C559" s="70"/>
    </row>
    <row r="560" ht="15.75" customHeight="1">
      <c r="C560" s="70"/>
    </row>
    <row r="561" ht="15.75" customHeight="1">
      <c r="C561" s="70"/>
    </row>
    <row r="562" ht="15.75" customHeight="1">
      <c r="C562" s="70"/>
    </row>
    <row r="563" ht="15.75" customHeight="1">
      <c r="C563" s="70"/>
    </row>
    <row r="564" ht="15.75" customHeight="1">
      <c r="C564" s="70"/>
    </row>
    <row r="565" ht="15.75" customHeight="1">
      <c r="C565" s="70"/>
    </row>
    <row r="566" ht="15.75" customHeight="1">
      <c r="C566" s="70"/>
    </row>
    <row r="567" ht="15.75" customHeight="1">
      <c r="C567" s="70"/>
    </row>
    <row r="568" ht="15.75" customHeight="1">
      <c r="C568" s="70"/>
    </row>
    <row r="569" ht="15.75" customHeight="1">
      <c r="C569" s="70"/>
    </row>
    <row r="570" ht="15.75" customHeight="1">
      <c r="C570" s="70"/>
    </row>
    <row r="571" ht="15.75" customHeight="1">
      <c r="C571" s="70"/>
    </row>
    <row r="572" ht="15.75" customHeight="1">
      <c r="C572" s="70"/>
    </row>
    <row r="573" ht="15.75" customHeight="1">
      <c r="C573" s="70"/>
    </row>
    <row r="574" ht="15.75" customHeight="1">
      <c r="C574" s="70"/>
    </row>
    <row r="575" ht="15.75" customHeight="1">
      <c r="C575" s="70"/>
    </row>
    <row r="576" ht="15.75" customHeight="1">
      <c r="C576" s="70"/>
    </row>
    <row r="577" ht="15.75" customHeight="1">
      <c r="C577" s="70"/>
    </row>
    <row r="578" ht="15.75" customHeight="1">
      <c r="C578" s="70"/>
    </row>
    <row r="579" ht="15.75" customHeight="1">
      <c r="C579" s="70"/>
    </row>
    <row r="580" ht="15.75" customHeight="1">
      <c r="C580" s="70"/>
    </row>
    <row r="581" ht="15.75" customHeight="1">
      <c r="C581" s="70"/>
    </row>
    <row r="582" ht="15.75" customHeight="1">
      <c r="C582" s="70"/>
    </row>
    <row r="583" ht="15.75" customHeight="1">
      <c r="C583" s="70"/>
    </row>
    <row r="584" ht="15.75" customHeight="1">
      <c r="C584" s="70"/>
    </row>
    <row r="585" ht="15.75" customHeight="1">
      <c r="C585" s="70"/>
    </row>
    <row r="586" ht="15.75" customHeight="1">
      <c r="C586" s="70"/>
    </row>
    <row r="587" ht="15.75" customHeight="1">
      <c r="C587" s="70"/>
    </row>
    <row r="588" ht="15.75" customHeight="1">
      <c r="C588" s="70"/>
    </row>
    <row r="589" ht="15.75" customHeight="1">
      <c r="C589" s="70"/>
    </row>
    <row r="590" ht="15.75" customHeight="1">
      <c r="C590" s="70"/>
    </row>
    <row r="591" ht="15.75" customHeight="1">
      <c r="C591" s="70"/>
    </row>
    <row r="592" ht="15.75" customHeight="1">
      <c r="C592" s="70"/>
    </row>
    <row r="593" ht="15.75" customHeight="1">
      <c r="C593" s="70"/>
    </row>
    <row r="594" ht="15.75" customHeight="1">
      <c r="C594" s="70"/>
    </row>
    <row r="595" ht="15.75" customHeight="1">
      <c r="C595" s="70"/>
    </row>
    <row r="596" ht="15.75" customHeight="1">
      <c r="C596" s="70"/>
    </row>
    <row r="597" ht="15.75" customHeight="1">
      <c r="C597" s="70"/>
    </row>
    <row r="598" ht="15.75" customHeight="1">
      <c r="C598" s="70"/>
    </row>
    <row r="599" ht="15.75" customHeight="1">
      <c r="C599" s="70"/>
    </row>
    <row r="600" ht="15.75" customHeight="1">
      <c r="C600" s="70"/>
    </row>
    <row r="601" ht="15.75" customHeight="1">
      <c r="C601" s="70"/>
    </row>
    <row r="602" ht="15.75" customHeight="1">
      <c r="C602" s="70"/>
    </row>
    <row r="603" ht="15.75" customHeight="1">
      <c r="C603" s="70"/>
    </row>
    <row r="604" ht="15.75" customHeight="1">
      <c r="C604" s="70"/>
    </row>
    <row r="605" ht="15.75" customHeight="1">
      <c r="C605" s="70"/>
    </row>
    <row r="606" ht="15.75" customHeight="1">
      <c r="C606" s="70"/>
    </row>
    <row r="607" ht="15.75" customHeight="1">
      <c r="C607" s="70"/>
    </row>
    <row r="608" ht="15.75" customHeight="1">
      <c r="C608" s="70"/>
    </row>
    <row r="609" ht="15.75" customHeight="1">
      <c r="C609" s="70"/>
    </row>
    <row r="610" ht="15.75" customHeight="1">
      <c r="C610" s="70"/>
    </row>
    <row r="611" ht="15.75" customHeight="1">
      <c r="C611" s="70"/>
    </row>
    <row r="612" ht="15.75" customHeight="1">
      <c r="C612" s="70"/>
    </row>
    <row r="613" ht="15.75" customHeight="1">
      <c r="C613" s="70"/>
    </row>
    <row r="614" ht="15.75" customHeight="1">
      <c r="C614" s="70"/>
    </row>
    <row r="615" ht="15.75" customHeight="1">
      <c r="C615" s="70"/>
    </row>
    <row r="616" ht="15.75" customHeight="1">
      <c r="C616" s="70"/>
    </row>
    <row r="617" ht="15.75" customHeight="1">
      <c r="C617" s="70"/>
    </row>
    <row r="618" ht="15.75" customHeight="1">
      <c r="C618" s="70"/>
    </row>
    <row r="619" ht="15.75" customHeight="1">
      <c r="C619" s="70"/>
    </row>
    <row r="620" ht="15.75" customHeight="1">
      <c r="C620" s="70"/>
    </row>
    <row r="621" ht="15.75" customHeight="1">
      <c r="C621" s="70"/>
    </row>
    <row r="622" ht="15.75" customHeight="1">
      <c r="C622" s="70"/>
    </row>
    <row r="623" ht="15.75" customHeight="1">
      <c r="C623" s="70"/>
    </row>
    <row r="624" ht="15.75" customHeight="1">
      <c r="C624" s="70"/>
    </row>
    <row r="625" ht="15.75" customHeight="1">
      <c r="C625" s="70"/>
    </row>
    <row r="626" ht="15.75" customHeight="1">
      <c r="C626" s="70"/>
    </row>
    <row r="627" ht="15.75" customHeight="1">
      <c r="C627" s="70"/>
    </row>
    <row r="628" ht="15.75" customHeight="1">
      <c r="C628" s="70"/>
    </row>
    <row r="629" ht="15.75" customHeight="1">
      <c r="C629" s="70"/>
    </row>
    <row r="630" ht="15.75" customHeight="1">
      <c r="C630" s="70"/>
    </row>
    <row r="631" ht="15.75" customHeight="1">
      <c r="C631" s="70"/>
    </row>
    <row r="632" ht="15.75" customHeight="1">
      <c r="C632" s="70"/>
    </row>
    <row r="633" ht="15.75" customHeight="1">
      <c r="C633" s="70"/>
    </row>
    <row r="634" ht="15.75" customHeight="1">
      <c r="C634" s="70"/>
    </row>
    <row r="635" ht="15.75" customHeight="1">
      <c r="C635" s="70"/>
    </row>
    <row r="636" ht="15.75" customHeight="1">
      <c r="C636" s="70"/>
    </row>
    <row r="637" ht="15.75" customHeight="1">
      <c r="C637" s="70"/>
    </row>
    <row r="638" ht="15.75" customHeight="1">
      <c r="C638" s="70"/>
    </row>
    <row r="639" ht="15.75" customHeight="1">
      <c r="C639" s="70"/>
    </row>
    <row r="640" ht="15.75" customHeight="1">
      <c r="C640" s="70"/>
    </row>
    <row r="641" ht="15.75" customHeight="1">
      <c r="C641" s="70"/>
    </row>
    <row r="642" ht="15.75" customHeight="1">
      <c r="C642" s="70"/>
    </row>
    <row r="643" ht="15.75" customHeight="1">
      <c r="C643" s="70"/>
    </row>
    <row r="644" ht="15.75" customHeight="1">
      <c r="C644" s="70"/>
    </row>
    <row r="645" ht="15.75" customHeight="1">
      <c r="C645" s="70"/>
    </row>
    <row r="646" ht="15.75" customHeight="1">
      <c r="C646" s="70"/>
    </row>
    <row r="647" ht="15.75" customHeight="1">
      <c r="C647" s="70"/>
    </row>
    <row r="648" ht="15.75" customHeight="1">
      <c r="C648" s="70"/>
    </row>
    <row r="649" ht="15.75" customHeight="1">
      <c r="C649" s="70"/>
    </row>
    <row r="650" ht="15.75" customHeight="1">
      <c r="C650" s="70"/>
    </row>
    <row r="651" ht="15.75" customHeight="1">
      <c r="C651" s="70"/>
    </row>
    <row r="652" ht="15.75" customHeight="1">
      <c r="C652" s="70"/>
    </row>
    <row r="653" ht="15.75" customHeight="1">
      <c r="C653" s="70"/>
    </row>
    <row r="654" ht="15.75" customHeight="1">
      <c r="C654" s="70"/>
    </row>
    <row r="655" ht="15.75" customHeight="1">
      <c r="C655" s="70"/>
    </row>
    <row r="656" ht="15.75" customHeight="1">
      <c r="C656" s="70"/>
    </row>
    <row r="657" ht="15.75" customHeight="1">
      <c r="C657" s="70"/>
    </row>
    <row r="658" ht="15.75" customHeight="1">
      <c r="C658" s="70"/>
    </row>
    <row r="659" ht="15.75" customHeight="1">
      <c r="C659" s="70"/>
    </row>
    <row r="660" ht="15.75" customHeight="1">
      <c r="C660" s="70"/>
    </row>
    <row r="661" ht="15.75" customHeight="1">
      <c r="C661" s="70"/>
    </row>
    <row r="662" ht="15.75" customHeight="1">
      <c r="C662" s="70"/>
    </row>
    <row r="663" ht="15.75" customHeight="1">
      <c r="C663" s="70"/>
    </row>
    <row r="664" ht="15.75" customHeight="1">
      <c r="C664" s="70"/>
    </row>
    <row r="665" ht="15.75" customHeight="1">
      <c r="C665" s="70"/>
    </row>
    <row r="666" ht="15.75" customHeight="1">
      <c r="C666" s="70"/>
    </row>
    <row r="667" ht="15.75" customHeight="1">
      <c r="C667" s="70"/>
    </row>
    <row r="668" ht="15.75" customHeight="1">
      <c r="C668" s="70"/>
    </row>
    <row r="669" ht="15.75" customHeight="1">
      <c r="C669" s="70"/>
    </row>
    <row r="670" ht="15.75" customHeight="1">
      <c r="C670" s="70"/>
    </row>
    <row r="671" ht="15.75" customHeight="1">
      <c r="C671" s="70"/>
    </row>
    <row r="672" ht="15.75" customHeight="1">
      <c r="C672" s="70"/>
    </row>
    <row r="673" ht="15.75" customHeight="1">
      <c r="C673" s="70"/>
    </row>
    <row r="674" ht="15.75" customHeight="1">
      <c r="C674" s="70"/>
    </row>
    <row r="675" ht="15.75" customHeight="1">
      <c r="C675" s="70"/>
    </row>
    <row r="676" ht="15.75" customHeight="1">
      <c r="C676" s="70"/>
    </row>
    <row r="677" ht="15.75" customHeight="1">
      <c r="C677" s="70"/>
    </row>
    <row r="678" ht="15.75" customHeight="1">
      <c r="C678" s="70"/>
    </row>
    <row r="679" ht="15.75" customHeight="1">
      <c r="C679" s="70"/>
    </row>
    <row r="680" ht="15.75" customHeight="1">
      <c r="C680" s="70"/>
    </row>
    <row r="681" ht="15.75" customHeight="1">
      <c r="C681" s="70"/>
    </row>
    <row r="682" ht="15.75" customHeight="1">
      <c r="C682" s="70"/>
    </row>
    <row r="683" ht="15.75" customHeight="1">
      <c r="C683" s="70"/>
    </row>
    <row r="684" ht="15.75" customHeight="1">
      <c r="C684" s="70"/>
    </row>
    <row r="685" ht="15.75" customHeight="1">
      <c r="C685" s="70"/>
    </row>
    <row r="686" ht="15.75" customHeight="1">
      <c r="C686" s="70"/>
    </row>
    <row r="687" ht="15.75" customHeight="1">
      <c r="C687" s="70"/>
    </row>
    <row r="688" ht="15.75" customHeight="1">
      <c r="C688" s="70"/>
    </row>
    <row r="689" ht="15.75" customHeight="1">
      <c r="C689" s="70"/>
    </row>
    <row r="690" ht="15.75" customHeight="1">
      <c r="C690" s="70"/>
    </row>
    <row r="691" ht="15.75" customHeight="1">
      <c r="C691" s="70"/>
    </row>
    <row r="692" ht="15.75" customHeight="1">
      <c r="C692" s="70"/>
    </row>
    <row r="693" ht="15.75" customHeight="1">
      <c r="C693" s="70"/>
    </row>
    <row r="694" ht="15.75" customHeight="1">
      <c r="C694" s="70"/>
    </row>
    <row r="695" ht="15.75" customHeight="1">
      <c r="C695" s="70"/>
    </row>
    <row r="696" ht="15.75" customHeight="1">
      <c r="C696" s="70"/>
    </row>
    <row r="697" ht="15.75" customHeight="1">
      <c r="C697" s="70"/>
    </row>
    <row r="698" ht="15.75" customHeight="1">
      <c r="C698" s="70"/>
    </row>
    <row r="699" ht="15.75" customHeight="1">
      <c r="C699" s="70"/>
    </row>
    <row r="700" ht="15.75" customHeight="1">
      <c r="C700" s="70"/>
    </row>
    <row r="701" ht="15.75" customHeight="1">
      <c r="C701" s="70"/>
    </row>
    <row r="702" ht="15.75" customHeight="1">
      <c r="C702" s="70"/>
    </row>
    <row r="703" ht="15.75" customHeight="1">
      <c r="C703" s="70"/>
    </row>
    <row r="704" ht="15.75" customHeight="1">
      <c r="C704" s="70"/>
    </row>
    <row r="705" ht="15.75" customHeight="1">
      <c r="C705" s="70"/>
    </row>
    <row r="706" ht="15.75" customHeight="1">
      <c r="C706" s="70"/>
    </row>
    <row r="707" ht="15.75" customHeight="1">
      <c r="C707" s="70"/>
    </row>
    <row r="708" ht="15.75" customHeight="1">
      <c r="C708" s="70"/>
    </row>
    <row r="709" ht="15.75" customHeight="1">
      <c r="C709" s="70"/>
    </row>
    <row r="710" ht="15.75" customHeight="1">
      <c r="C710" s="70"/>
    </row>
    <row r="711" ht="15.75" customHeight="1">
      <c r="C711" s="70"/>
    </row>
    <row r="712" ht="15.75" customHeight="1">
      <c r="C712" s="70"/>
    </row>
    <row r="713" ht="15.75" customHeight="1">
      <c r="C713" s="70"/>
    </row>
    <row r="714" ht="15.75" customHeight="1">
      <c r="C714" s="70"/>
    </row>
    <row r="715" ht="15.75" customHeight="1">
      <c r="C715" s="70"/>
    </row>
    <row r="716" ht="15.75" customHeight="1">
      <c r="C716" s="70"/>
    </row>
    <row r="717" ht="15.75" customHeight="1">
      <c r="C717" s="70"/>
    </row>
    <row r="718" ht="15.75" customHeight="1">
      <c r="C718" s="70"/>
    </row>
    <row r="719" ht="15.75" customHeight="1">
      <c r="C719" s="70"/>
    </row>
    <row r="720" ht="15.75" customHeight="1">
      <c r="C720" s="70"/>
    </row>
    <row r="721" ht="15.75" customHeight="1">
      <c r="C721" s="70"/>
    </row>
    <row r="722" ht="15.75" customHeight="1">
      <c r="C722" s="70"/>
    </row>
    <row r="723" ht="15.75" customHeight="1">
      <c r="C723" s="70"/>
    </row>
    <row r="724" ht="15.75" customHeight="1">
      <c r="C724" s="70"/>
    </row>
    <row r="725" ht="15.75" customHeight="1">
      <c r="C725" s="70"/>
    </row>
    <row r="726" ht="15.75" customHeight="1">
      <c r="C726" s="70"/>
    </row>
    <row r="727" ht="15.75" customHeight="1">
      <c r="C727" s="70"/>
    </row>
    <row r="728" ht="15.75" customHeight="1">
      <c r="C728" s="70"/>
    </row>
    <row r="729" ht="15.75" customHeight="1">
      <c r="C729" s="70"/>
    </row>
    <row r="730" ht="15.75" customHeight="1">
      <c r="C730" s="70"/>
    </row>
    <row r="731" ht="15.75" customHeight="1">
      <c r="C731" s="70"/>
    </row>
    <row r="732" ht="15.75" customHeight="1">
      <c r="C732" s="70"/>
    </row>
    <row r="733" ht="15.75" customHeight="1">
      <c r="C733" s="70"/>
    </row>
    <row r="734" ht="15.75" customHeight="1">
      <c r="C734" s="70"/>
    </row>
    <row r="735" ht="15.75" customHeight="1">
      <c r="C735" s="70"/>
    </row>
    <row r="736" ht="15.75" customHeight="1">
      <c r="C736" s="70"/>
    </row>
    <row r="737" ht="15.75" customHeight="1">
      <c r="C737" s="70"/>
    </row>
    <row r="738" ht="15.75" customHeight="1">
      <c r="C738" s="70"/>
    </row>
    <row r="739" ht="15.75" customHeight="1">
      <c r="C739" s="70"/>
    </row>
    <row r="740" ht="15.75" customHeight="1">
      <c r="C740" s="70"/>
    </row>
    <row r="741" ht="15.75" customHeight="1">
      <c r="C741" s="70"/>
    </row>
    <row r="742" ht="15.75" customHeight="1">
      <c r="C742" s="70"/>
    </row>
    <row r="743" ht="15.75" customHeight="1">
      <c r="C743" s="70"/>
    </row>
    <row r="744" ht="15.75" customHeight="1">
      <c r="C744" s="70"/>
    </row>
    <row r="745" ht="15.75" customHeight="1">
      <c r="C745" s="70"/>
    </row>
    <row r="746" ht="15.75" customHeight="1">
      <c r="C746" s="70"/>
    </row>
    <row r="747" ht="15.75" customHeight="1">
      <c r="C747" s="70"/>
    </row>
    <row r="748" ht="15.75" customHeight="1">
      <c r="C748" s="70"/>
    </row>
    <row r="749" ht="15.75" customHeight="1">
      <c r="C749" s="70"/>
    </row>
    <row r="750" ht="15.75" customHeight="1">
      <c r="C750" s="70"/>
    </row>
    <row r="751" ht="15.75" customHeight="1">
      <c r="C751" s="70"/>
    </row>
    <row r="752" ht="15.75" customHeight="1">
      <c r="C752" s="70"/>
    </row>
    <row r="753" ht="15.75" customHeight="1">
      <c r="C753" s="70"/>
    </row>
    <row r="754" ht="15.75" customHeight="1">
      <c r="C754" s="70"/>
    </row>
    <row r="755" ht="15.75" customHeight="1">
      <c r="C755" s="70"/>
    </row>
    <row r="756" ht="15.75" customHeight="1">
      <c r="C756" s="70"/>
    </row>
    <row r="757" ht="15.75" customHeight="1">
      <c r="C757" s="70"/>
    </row>
    <row r="758" ht="15.75" customHeight="1">
      <c r="C758" s="70"/>
    </row>
    <row r="759" ht="15.75" customHeight="1">
      <c r="C759" s="70"/>
    </row>
    <row r="760" ht="15.75" customHeight="1">
      <c r="C760" s="70"/>
    </row>
    <row r="761" ht="15.75" customHeight="1">
      <c r="C761" s="70"/>
    </row>
    <row r="762" ht="15.75" customHeight="1">
      <c r="C762" s="70"/>
    </row>
    <row r="763" ht="15.75" customHeight="1">
      <c r="C763" s="70"/>
    </row>
    <row r="764" ht="15.75" customHeight="1">
      <c r="C764" s="70"/>
    </row>
    <row r="765" ht="15.75" customHeight="1">
      <c r="C765" s="70"/>
    </row>
    <row r="766" ht="15.75" customHeight="1">
      <c r="C766" s="70"/>
    </row>
    <row r="767" ht="15.75" customHeight="1">
      <c r="C767" s="70"/>
    </row>
    <row r="768" ht="15.75" customHeight="1">
      <c r="C768" s="70"/>
    </row>
    <row r="769" ht="15.75" customHeight="1">
      <c r="C769" s="70"/>
    </row>
    <row r="770" ht="15.75" customHeight="1">
      <c r="C770" s="70"/>
    </row>
    <row r="771" ht="15.75" customHeight="1">
      <c r="C771" s="70"/>
    </row>
    <row r="772" ht="15.75" customHeight="1">
      <c r="C772" s="70"/>
    </row>
    <row r="773" ht="15.75" customHeight="1">
      <c r="C773" s="70"/>
    </row>
    <row r="774" ht="15.75" customHeight="1">
      <c r="C774" s="70"/>
    </row>
    <row r="775" ht="15.75" customHeight="1">
      <c r="C775" s="70"/>
    </row>
    <row r="776" ht="15.75" customHeight="1">
      <c r="C776" s="70"/>
    </row>
    <row r="777" ht="15.75" customHeight="1">
      <c r="C777" s="70"/>
    </row>
    <row r="778" ht="15.75" customHeight="1">
      <c r="C778" s="70"/>
    </row>
    <row r="779" ht="15.75" customHeight="1">
      <c r="C779" s="70"/>
    </row>
    <row r="780" ht="15.75" customHeight="1">
      <c r="C780" s="70"/>
    </row>
    <row r="781" ht="15.75" customHeight="1">
      <c r="C781" s="70"/>
    </row>
    <row r="782" ht="15.75" customHeight="1">
      <c r="C782" s="70"/>
    </row>
    <row r="783" ht="15.75" customHeight="1">
      <c r="C783" s="70"/>
    </row>
    <row r="784" ht="15.75" customHeight="1">
      <c r="C784" s="70"/>
    </row>
    <row r="785" ht="15.75" customHeight="1">
      <c r="C785" s="70"/>
    </row>
    <row r="786" ht="15.75" customHeight="1">
      <c r="C786" s="70"/>
    </row>
    <row r="787" ht="15.75" customHeight="1">
      <c r="C787" s="70"/>
    </row>
    <row r="788" ht="15.75" customHeight="1">
      <c r="C788" s="70"/>
    </row>
    <row r="789" ht="15.75" customHeight="1">
      <c r="C789" s="70"/>
    </row>
    <row r="790" ht="15.75" customHeight="1">
      <c r="C790" s="70"/>
    </row>
    <row r="791" ht="15.75" customHeight="1">
      <c r="C791" s="70"/>
    </row>
    <row r="792" ht="15.75" customHeight="1">
      <c r="C792" s="70"/>
    </row>
    <row r="793" ht="15.75" customHeight="1">
      <c r="C793" s="70"/>
    </row>
    <row r="794" ht="15.75" customHeight="1">
      <c r="C794" s="70"/>
    </row>
    <row r="795" ht="15.75" customHeight="1">
      <c r="C795" s="70"/>
    </row>
    <row r="796" ht="15.75" customHeight="1">
      <c r="C796" s="70"/>
    </row>
    <row r="797" ht="15.75" customHeight="1">
      <c r="C797" s="70"/>
    </row>
    <row r="798" ht="15.75" customHeight="1">
      <c r="C798" s="70"/>
    </row>
    <row r="799" ht="15.75" customHeight="1">
      <c r="C799" s="70"/>
    </row>
    <row r="800" ht="15.75" customHeight="1">
      <c r="C800" s="70"/>
    </row>
    <row r="801" ht="15.75" customHeight="1">
      <c r="C801" s="70"/>
    </row>
    <row r="802" ht="15.75" customHeight="1">
      <c r="C802" s="70"/>
    </row>
    <row r="803" ht="15.75" customHeight="1">
      <c r="C803" s="70"/>
    </row>
    <row r="804" ht="15.75" customHeight="1">
      <c r="C804" s="70"/>
    </row>
    <row r="805" ht="15.75" customHeight="1">
      <c r="C805" s="70"/>
    </row>
    <row r="806" ht="15.75" customHeight="1">
      <c r="C806" s="70"/>
    </row>
    <row r="807" ht="15.75" customHeight="1">
      <c r="C807" s="70"/>
    </row>
    <row r="808" ht="15.75" customHeight="1">
      <c r="C808" s="70"/>
    </row>
    <row r="809" ht="15.75" customHeight="1">
      <c r="C809" s="70"/>
    </row>
    <row r="810" ht="15.75" customHeight="1">
      <c r="C810" s="70"/>
    </row>
    <row r="811" ht="15.75" customHeight="1">
      <c r="C811" s="70"/>
    </row>
    <row r="812" ht="15.75" customHeight="1">
      <c r="C812" s="70"/>
    </row>
    <row r="813" ht="15.75" customHeight="1">
      <c r="C813" s="70"/>
    </row>
    <row r="814" ht="15.75" customHeight="1">
      <c r="C814" s="70"/>
    </row>
    <row r="815" ht="15.75" customHeight="1">
      <c r="C815" s="70"/>
    </row>
    <row r="816" ht="15.75" customHeight="1">
      <c r="C816" s="70"/>
    </row>
    <row r="817" ht="15.75" customHeight="1">
      <c r="C817" s="70"/>
    </row>
    <row r="818" ht="15.75" customHeight="1">
      <c r="C818" s="70"/>
    </row>
    <row r="819" ht="15.75" customHeight="1">
      <c r="C819" s="70"/>
    </row>
    <row r="820" ht="15.75" customHeight="1">
      <c r="C820" s="70"/>
    </row>
    <row r="821" ht="15.75" customHeight="1">
      <c r="C821" s="70"/>
    </row>
    <row r="822" ht="15.75" customHeight="1">
      <c r="C822" s="70"/>
    </row>
    <row r="823" ht="15.75" customHeight="1">
      <c r="C823" s="70"/>
    </row>
    <row r="824" ht="15.75" customHeight="1">
      <c r="C824" s="70"/>
    </row>
    <row r="825" ht="15.75" customHeight="1">
      <c r="C825" s="70"/>
    </row>
    <row r="826" ht="15.75" customHeight="1">
      <c r="C826" s="70"/>
    </row>
    <row r="827" ht="15.75" customHeight="1">
      <c r="C827" s="70"/>
    </row>
    <row r="828" ht="15.75" customHeight="1">
      <c r="C828" s="70"/>
    </row>
    <row r="829" ht="15.75" customHeight="1">
      <c r="C829" s="70"/>
    </row>
    <row r="830" ht="15.75" customHeight="1">
      <c r="C830" s="70"/>
    </row>
    <row r="831" ht="15.75" customHeight="1">
      <c r="C831" s="70"/>
    </row>
    <row r="832" ht="15.75" customHeight="1">
      <c r="C832" s="70"/>
    </row>
    <row r="833" ht="15.75" customHeight="1">
      <c r="C833" s="70"/>
    </row>
    <row r="834" ht="15.75" customHeight="1">
      <c r="C834" s="70"/>
    </row>
    <row r="835" ht="15.75" customHeight="1">
      <c r="C835" s="70"/>
    </row>
    <row r="836" ht="15.75" customHeight="1">
      <c r="C836" s="70"/>
    </row>
    <row r="837" ht="15.75" customHeight="1">
      <c r="C837" s="70"/>
    </row>
    <row r="838" ht="15.75" customHeight="1">
      <c r="C838" s="70"/>
    </row>
    <row r="839" ht="15.75" customHeight="1">
      <c r="C839" s="70"/>
    </row>
    <row r="840" ht="15.75" customHeight="1">
      <c r="C840" s="70"/>
    </row>
    <row r="841" ht="15.75" customHeight="1">
      <c r="C841" s="70"/>
    </row>
    <row r="842" ht="15.75" customHeight="1">
      <c r="C842" s="70"/>
    </row>
    <row r="843" ht="15.75" customHeight="1">
      <c r="C843" s="70"/>
    </row>
    <row r="844" ht="15.75" customHeight="1">
      <c r="C844" s="70"/>
    </row>
    <row r="845" ht="15.75" customHeight="1">
      <c r="C845" s="70"/>
    </row>
    <row r="846" ht="15.75" customHeight="1">
      <c r="C846" s="70"/>
    </row>
    <row r="847" ht="15.75" customHeight="1">
      <c r="C847" s="70"/>
    </row>
    <row r="848" ht="15.75" customHeight="1">
      <c r="C848" s="70"/>
    </row>
    <row r="849" ht="15.75" customHeight="1">
      <c r="C849" s="70"/>
    </row>
    <row r="850" ht="15.75" customHeight="1">
      <c r="C850" s="70"/>
    </row>
    <row r="851" ht="15.75" customHeight="1">
      <c r="C851" s="70"/>
    </row>
    <row r="852" ht="15.75" customHeight="1">
      <c r="C852" s="70"/>
    </row>
    <row r="853" ht="15.75" customHeight="1">
      <c r="C853" s="70"/>
    </row>
    <row r="854" ht="15.75" customHeight="1">
      <c r="C854" s="70"/>
    </row>
    <row r="855" ht="15.75" customHeight="1">
      <c r="C855" s="70"/>
    </row>
    <row r="856" ht="15.75" customHeight="1">
      <c r="C856" s="70"/>
    </row>
    <row r="857" ht="15.75" customHeight="1">
      <c r="C857" s="70"/>
    </row>
    <row r="858" ht="15.75" customHeight="1">
      <c r="C858" s="70"/>
    </row>
    <row r="859" ht="15.75" customHeight="1">
      <c r="C859" s="70"/>
    </row>
    <row r="860" ht="15.75" customHeight="1">
      <c r="C860" s="70"/>
    </row>
    <row r="861" ht="15.75" customHeight="1">
      <c r="C861" s="70"/>
    </row>
    <row r="862" ht="15.75" customHeight="1">
      <c r="C862" s="70"/>
    </row>
    <row r="863" ht="15.75" customHeight="1">
      <c r="C863" s="70"/>
    </row>
    <row r="864" ht="15.75" customHeight="1">
      <c r="C864" s="70"/>
    </row>
    <row r="865" ht="15.75" customHeight="1">
      <c r="C865" s="70"/>
    </row>
    <row r="866" ht="15.75" customHeight="1">
      <c r="C866" s="70"/>
    </row>
    <row r="867" ht="15.75" customHeight="1">
      <c r="C867" s="70"/>
    </row>
    <row r="868" ht="15.75" customHeight="1">
      <c r="C868" s="70"/>
    </row>
    <row r="869" ht="15.75" customHeight="1">
      <c r="C869" s="70"/>
    </row>
    <row r="870" ht="15.75" customHeight="1">
      <c r="C870" s="70"/>
    </row>
    <row r="871" ht="15.75" customHeight="1">
      <c r="C871" s="70"/>
    </row>
    <row r="872" ht="15.75" customHeight="1">
      <c r="C872" s="70"/>
    </row>
    <row r="873" ht="15.75" customHeight="1">
      <c r="C873" s="70"/>
    </row>
    <row r="874" ht="15.75" customHeight="1">
      <c r="C874" s="70"/>
    </row>
    <row r="875" ht="15.75" customHeight="1">
      <c r="C875" s="70"/>
    </row>
    <row r="876" ht="15.75" customHeight="1">
      <c r="C876" s="70"/>
    </row>
    <row r="877" ht="15.75" customHeight="1">
      <c r="C877" s="70"/>
    </row>
    <row r="878" ht="15.75" customHeight="1">
      <c r="C878" s="70"/>
    </row>
    <row r="879" ht="15.75" customHeight="1">
      <c r="C879" s="70"/>
    </row>
    <row r="880" ht="15.75" customHeight="1">
      <c r="C880" s="70"/>
    </row>
    <row r="881" ht="15.75" customHeight="1">
      <c r="C881" s="70"/>
    </row>
    <row r="882" ht="15.75" customHeight="1">
      <c r="C882" s="70"/>
    </row>
    <row r="883" ht="15.75" customHeight="1">
      <c r="C883" s="70"/>
    </row>
    <row r="884" ht="15.75" customHeight="1">
      <c r="C884" s="70"/>
    </row>
    <row r="885" ht="15.75" customHeight="1">
      <c r="C885" s="70"/>
    </row>
    <row r="886" ht="15.75" customHeight="1">
      <c r="C886" s="70"/>
    </row>
    <row r="887" ht="15.75" customHeight="1">
      <c r="C887" s="70"/>
    </row>
    <row r="888" ht="15.75" customHeight="1">
      <c r="C888" s="70"/>
    </row>
    <row r="889" ht="15.75" customHeight="1">
      <c r="C889" s="70"/>
    </row>
    <row r="890" ht="15.75" customHeight="1">
      <c r="C890" s="70"/>
    </row>
    <row r="891" ht="15.75" customHeight="1">
      <c r="C891" s="70"/>
    </row>
    <row r="892" ht="15.75" customHeight="1">
      <c r="C892" s="70"/>
    </row>
    <row r="893" ht="15.75" customHeight="1">
      <c r="C893" s="70"/>
    </row>
    <row r="894" ht="15.75" customHeight="1">
      <c r="C894" s="70"/>
    </row>
    <row r="895" ht="15.75" customHeight="1">
      <c r="C895" s="70"/>
    </row>
    <row r="896" ht="15.75" customHeight="1">
      <c r="C896" s="70"/>
    </row>
    <row r="897" ht="15.75" customHeight="1">
      <c r="C897" s="70"/>
    </row>
    <row r="898" ht="15.75" customHeight="1">
      <c r="C898" s="70"/>
    </row>
    <row r="899" ht="15.75" customHeight="1">
      <c r="C899" s="70"/>
    </row>
    <row r="900" ht="15.75" customHeight="1">
      <c r="C900" s="70"/>
    </row>
    <row r="901" ht="15.75" customHeight="1">
      <c r="C901" s="70"/>
    </row>
    <row r="902" ht="15.75" customHeight="1">
      <c r="C902" s="70"/>
    </row>
    <row r="903" ht="15.75" customHeight="1">
      <c r="C903" s="70"/>
    </row>
    <row r="904" ht="15.75" customHeight="1">
      <c r="C904" s="70"/>
    </row>
    <row r="905" ht="15.75" customHeight="1">
      <c r="C905" s="70"/>
    </row>
    <row r="906" ht="15.75" customHeight="1">
      <c r="C906" s="70"/>
    </row>
    <row r="907" ht="15.75" customHeight="1">
      <c r="C907" s="70"/>
    </row>
    <row r="908" ht="15.75" customHeight="1">
      <c r="C908" s="70"/>
    </row>
    <row r="909" ht="15.75" customHeight="1">
      <c r="C909" s="70"/>
    </row>
    <row r="910" ht="15.75" customHeight="1">
      <c r="C910" s="70"/>
    </row>
    <row r="911" ht="15.75" customHeight="1">
      <c r="C911" s="70"/>
    </row>
    <row r="912" ht="15.75" customHeight="1">
      <c r="C912" s="70"/>
    </row>
    <row r="913" ht="15.75" customHeight="1">
      <c r="C913" s="70"/>
    </row>
    <row r="914" ht="15.75" customHeight="1">
      <c r="C914" s="70"/>
    </row>
    <row r="915" ht="15.75" customHeight="1">
      <c r="C915" s="70"/>
    </row>
    <row r="916" ht="15.75" customHeight="1">
      <c r="C916" s="70"/>
    </row>
    <row r="917" ht="15.75" customHeight="1">
      <c r="C917" s="70"/>
    </row>
    <row r="918" ht="15.75" customHeight="1">
      <c r="C918" s="70"/>
    </row>
    <row r="919" ht="15.75" customHeight="1">
      <c r="C919" s="70"/>
    </row>
    <row r="920" ht="15.75" customHeight="1">
      <c r="C920" s="70"/>
    </row>
    <row r="921" ht="15.75" customHeight="1">
      <c r="C921" s="70"/>
    </row>
    <row r="922" ht="15.75" customHeight="1">
      <c r="C922" s="70"/>
    </row>
    <row r="923" ht="15.75" customHeight="1">
      <c r="C923" s="70"/>
    </row>
    <row r="924" ht="15.75" customHeight="1">
      <c r="C924" s="70"/>
    </row>
    <row r="925" ht="15.75" customHeight="1">
      <c r="C925" s="70"/>
    </row>
    <row r="926" ht="15.75" customHeight="1">
      <c r="C926" s="70"/>
    </row>
    <row r="927" ht="15.75" customHeight="1">
      <c r="C927" s="70"/>
    </row>
    <row r="928" ht="15.75" customHeight="1">
      <c r="C928" s="70"/>
    </row>
    <row r="929" ht="15.75" customHeight="1">
      <c r="C929" s="70"/>
    </row>
    <row r="930" ht="15.75" customHeight="1">
      <c r="C930" s="70"/>
    </row>
    <row r="931" ht="15.75" customHeight="1">
      <c r="C931" s="70"/>
    </row>
    <row r="932" ht="15.75" customHeight="1">
      <c r="C932" s="70"/>
    </row>
    <row r="933" ht="15.75" customHeight="1">
      <c r="C933" s="70"/>
    </row>
    <row r="934" ht="15.75" customHeight="1">
      <c r="C934" s="70"/>
    </row>
    <row r="935" ht="15.75" customHeight="1">
      <c r="C935" s="70"/>
    </row>
    <row r="936" ht="15.75" customHeight="1">
      <c r="C936" s="70"/>
    </row>
    <row r="937" ht="15.75" customHeight="1">
      <c r="C937" s="70"/>
    </row>
    <row r="938" ht="15.75" customHeight="1">
      <c r="C938" s="70"/>
    </row>
    <row r="939" ht="15.75" customHeight="1">
      <c r="C939" s="70"/>
    </row>
    <row r="940" ht="15.75" customHeight="1">
      <c r="C940" s="70"/>
    </row>
    <row r="941" ht="15.75" customHeight="1">
      <c r="C941" s="70"/>
    </row>
    <row r="942" ht="15.75" customHeight="1">
      <c r="C942" s="70"/>
    </row>
    <row r="943" ht="15.75" customHeight="1">
      <c r="C943" s="70"/>
    </row>
    <row r="944" ht="15.75" customHeight="1">
      <c r="C944" s="70"/>
    </row>
    <row r="945" ht="15.75" customHeight="1">
      <c r="C945" s="70"/>
    </row>
    <row r="946" ht="15.75" customHeight="1">
      <c r="C946" s="70"/>
    </row>
    <row r="947" ht="15.75" customHeight="1">
      <c r="C947" s="70"/>
    </row>
    <row r="948" ht="15.75" customHeight="1">
      <c r="C948" s="70"/>
    </row>
    <row r="949" ht="15.75" customHeight="1">
      <c r="C949" s="70"/>
    </row>
    <row r="950" ht="15.75" customHeight="1">
      <c r="C950" s="70"/>
    </row>
    <row r="951" ht="15.75" customHeight="1">
      <c r="C951" s="70"/>
    </row>
    <row r="952" ht="15.75" customHeight="1">
      <c r="C952" s="70"/>
    </row>
    <row r="953" ht="15.75" customHeight="1">
      <c r="C953" s="70"/>
    </row>
    <row r="954" ht="15.75" customHeight="1">
      <c r="C954" s="70"/>
    </row>
    <row r="955" ht="15.75" customHeight="1">
      <c r="C955" s="70"/>
    </row>
    <row r="956" ht="15.75" customHeight="1">
      <c r="C956" s="70"/>
    </row>
    <row r="957" ht="15.75" customHeight="1">
      <c r="C957" s="70"/>
    </row>
    <row r="958" ht="15.75" customHeight="1">
      <c r="C958" s="70"/>
    </row>
    <row r="959" ht="15.75" customHeight="1">
      <c r="C959" s="70"/>
    </row>
    <row r="960" ht="15.75" customHeight="1">
      <c r="C960" s="70"/>
    </row>
    <row r="961" ht="15.75" customHeight="1">
      <c r="C961" s="70"/>
    </row>
    <row r="962" ht="15.75" customHeight="1">
      <c r="C962" s="70"/>
    </row>
    <row r="963" ht="15.75" customHeight="1">
      <c r="C963" s="70"/>
    </row>
    <row r="964" ht="15.75" customHeight="1">
      <c r="C964" s="70"/>
    </row>
    <row r="965" ht="15.75" customHeight="1">
      <c r="C965" s="70"/>
    </row>
    <row r="966" ht="15.75" customHeight="1">
      <c r="C966" s="70"/>
    </row>
    <row r="967" ht="15.75" customHeight="1">
      <c r="C967" s="70"/>
    </row>
    <row r="968" ht="15.75" customHeight="1">
      <c r="C968" s="70"/>
    </row>
    <row r="969" ht="15.75" customHeight="1">
      <c r="C969" s="70"/>
    </row>
    <row r="970" ht="15.75" customHeight="1">
      <c r="C970" s="70"/>
    </row>
    <row r="971" ht="15.75" customHeight="1">
      <c r="C971" s="70"/>
    </row>
    <row r="972" ht="15.75" customHeight="1">
      <c r="C972" s="70"/>
    </row>
    <row r="973" ht="15.75" customHeight="1">
      <c r="C973" s="70"/>
    </row>
    <row r="974" ht="15.75" customHeight="1">
      <c r="C974" s="70"/>
    </row>
    <row r="975" ht="15.75" customHeight="1">
      <c r="C975" s="70"/>
    </row>
    <row r="976" ht="15.75" customHeight="1">
      <c r="C976" s="70"/>
    </row>
    <row r="977" ht="15.75" customHeight="1">
      <c r="C977" s="70"/>
    </row>
    <row r="978" ht="15.75" customHeight="1">
      <c r="C978" s="70"/>
    </row>
    <row r="979" ht="15.75" customHeight="1">
      <c r="C979" s="70"/>
    </row>
    <row r="980" ht="15.75" customHeight="1">
      <c r="C980" s="70"/>
    </row>
    <row r="981" ht="15.75" customHeight="1">
      <c r="C981" s="70"/>
    </row>
    <row r="982" ht="15.75" customHeight="1">
      <c r="C982" s="70"/>
    </row>
    <row r="983" ht="15.75" customHeight="1">
      <c r="C983" s="70"/>
    </row>
    <row r="984" ht="15.75" customHeight="1">
      <c r="C984" s="70"/>
    </row>
    <row r="985" ht="15.75" customHeight="1">
      <c r="C985" s="70"/>
    </row>
    <row r="986" ht="15.75" customHeight="1">
      <c r="C986" s="70"/>
    </row>
    <row r="987" ht="15.75" customHeight="1">
      <c r="C987" s="70"/>
    </row>
    <row r="988" ht="15.75" customHeight="1">
      <c r="C988" s="70"/>
    </row>
    <row r="989" ht="15.75" customHeight="1">
      <c r="C989" s="70"/>
    </row>
    <row r="990" ht="15.75" customHeight="1">
      <c r="C990" s="70"/>
    </row>
    <row r="991" ht="15.75" customHeight="1">
      <c r="C991" s="70"/>
    </row>
    <row r="992" ht="15.75" customHeight="1">
      <c r="C992" s="70"/>
    </row>
    <row r="993" ht="15.75" customHeight="1">
      <c r="C993" s="70"/>
    </row>
    <row r="994" ht="15.75" customHeight="1">
      <c r="C994" s="70"/>
    </row>
    <row r="995" ht="15.75" customHeight="1">
      <c r="C995" s="70"/>
    </row>
    <row r="996" ht="15.75" customHeight="1">
      <c r="C996" s="70"/>
    </row>
    <row r="997" ht="15.75" customHeight="1">
      <c r="C997" s="70"/>
    </row>
    <row r="998" ht="15.75" customHeight="1">
      <c r="C998" s="70"/>
    </row>
    <row r="999" ht="15.75" customHeight="1">
      <c r="C999" s="70"/>
    </row>
    <row r="1000" ht="15.75" customHeight="1">
      <c r="C1000" s="70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6.78"/>
    <col customWidth="1" min="2" max="2" width="53.67"/>
    <col customWidth="1" min="3" max="3" width="10.11"/>
    <col customWidth="1" min="4" max="26" width="6.78"/>
  </cols>
  <sheetData>
    <row r="1" ht="15.75" customHeight="1">
      <c r="A1" s="68" t="s">
        <v>188</v>
      </c>
      <c r="B1" s="68" t="s">
        <v>181</v>
      </c>
      <c r="C1" s="69" t="s">
        <v>182</v>
      </c>
    </row>
    <row r="2" ht="15.75" customHeight="1">
      <c r="C2" s="70"/>
    </row>
    <row r="3" ht="15.75" customHeight="1">
      <c r="C3" s="70"/>
    </row>
    <row r="4" ht="15.75" customHeight="1">
      <c r="C4" s="70"/>
    </row>
    <row r="5" ht="15.75" customHeight="1">
      <c r="C5" s="70"/>
    </row>
    <row r="6" ht="15.75" customHeight="1">
      <c r="C6" s="70"/>
    </row>
    <row r="7" ht="15.75" customHeight="1">
      <c r="C7" s="70"/>
    </row>
    <row r="8" ht="15.75" customHeight="1">
      <c r="C8" s="70"/>
    </row>
    <row r="9" ht="15.75" customHeight="1">
      <c r="C9" s="70"/>
    </row>
    <row r="10" ht="15.75" customHeight="1">
      <c r="C10" s="70"/>
    </row>
    <row r="11" ht="15.75" customHeight="1">
      <c r="C11" s="70"/>
    </row>
    <row r="12" ht="15.75" customHeight="1">
      <c r="C12" s="70"/>
    </row>
    <row r="13" ht="15.75" customHeight="1">
      <c r="C13" s="70"/>
    </row>
    <row r="14" ht="15.75" customHeight="1">
      <c r="C14" s="70"/>
    </row>
    <row r="15" ht="15.75" customHeight="1">
      <c r="A15" s="71" t="s">
        <v>183</v>
      </c>
      <c r="B15" s="68" t="s">
        <v>110</v>
      </c>
      <c r="C15" s="72">
        <f>SUM(C2:C14)</f>
        <v>0</v>
      </c>
    </row>
    <row r="16" ht="15.75" customHeight="1">
      <c r="C16" s="70"/>
    </row>
    <row r="17" ht="15.75" customHeight="1">
      <c r="C17" s="70"/>
    </row>
    <row r="18" ht="15.75" customHeight="1">
      <c r="C18" s="70"/>
    </row>
    <row r="19" ht="15.75" customHeight="1">
      <c r="C19" s="70"/>
    </row>
    <row r="20" ht="15.75" customHeight="1">
      <c r="C20" s="70"/>
    </row>
    <row r="21" ht="15.75" customHeight="1">
      <c r="C21" s="70"/>
    </row>
    <row r="22" ht="15.75" customHeight="1">
      <c r="C22" s="70"/>
    </row>
    <row r="23" ht="15.75" customHeight="1">
      <c r="C23" s="70"/>
    </row>
    <row r="24" ht="15.75" customHeight="1">
      <c r="C24" s="70"/>
    </row>
    <row r="25" ht="15.75" customHeight="1">
      <c r="C25" s="70"/>
    </row>
    <row r="26" ht="15.75" customHeight="1">
      <c r="C26" s="70"/>
    </row>
    <row r="27" ht="15.75" customHeight="1">
      <c r="C27" s="70"/>
    </row>
    <row r="28" ht="15.75" customHeight="1">
      <c r="C28" s="70"/>
    </row>
    <row r="29" ht="15.75" customHeight="1">
      <c r="A29" s="71" t="s">
        <v>184</v>
      </c>
      <c r="B29" s="68" t="s">
        <v>110</v>
      </c>
      <c r="C29" s="72">
        <f>SUM(C16:C28)</f>
        <v>0</v>
      </c>
    </row>
    <row r="30" ht="15.75" customHeight="1">
      <c r="C30" s="70"/>
    </row>
    <row r="31" ht="15.75" customHeight="1">
      <c r="C31" s="70"/>
    </row>
    <row r="32" ht="15.75" customHeight="1">
      <c r="C32" s="70"/>
    </row>
    <row r="33" ht="15.75" customHeight="1">
      <c r="C33" s="70"/>
    </row>
    <row r="34" ht="15.75" customHeight="1">
      <c r="C34" s="70"/>
    </row>
    <row r="35" ht="15.75" customHeight="1">
      <c r="C35" s="70"/>
    </row>
    <row r="36" ht="15.75" customHeight="1">
      <c r="C36" s="70"/>
    </row>
    <row r="37" ht="15.75" customHeight="1">
      <c r="C37" s="70"/>
    </row>
    <row r="38" ht="15.75" customHeight="1">
      <c r="C38" s="70"/>
    </row>
    <row r="39" ht="15.75" customHeight="1">
      <c r="C39" s="70"/>
    </row>
    <row r="40" ht="15.75" customHeight="1">
      <c r="C40" s="70"/>
    </row>
    <row r="41" ht="15.75" customHeight="1">
      <c r="C41" s="70"/>
    </row>
    <row r="42" ht="15.75" customHeight="1">
      <c r="C42" s="70"/>
    </row>
    <row r="43" ht="15.75" customHeight="1">
      <c r="C43" s="70"/>
    </row>
    <row r="44" ht="15.75" customHeight="1">
      <c r="A44" s="71" t="s">
        <v>185</v>
      </c>
      <c r="B44" s="68" t="s">
        <v>110</v>
      </c>
      <c r="C44" s="72">
        <f>SUM(C30:C43)</f>
        <v>0</v>
      </c>
    </row>
    <row r="45" ht="15.75" customHeight="1">
      <c r="C45" s="70"/>
    </row>
    <row r="46" ht="15.75" customHeight="1">
      <c r="C46" s="70"/>
    </row>
    <row r="47" ht="15.75" customHeight="1">
      <c r="C47" s="70"/>
    </row>
    <row r="48" ht="15.75" customHeight="1">
      <c r="C48" s="70"/>
    </row>
    <row r="49" ht="15.75" customHeight="1">
      <c r="C49" s="70"/>
    </row>
    <row r="50" ht="15.75" customHeight="1">
      <c r="C50" s="70"/>
    </row>
    <row r="51" ht="15.75" customHeight="1">
      <c r="C51" s="70"/>
    </row>
    <row r="52" ht="15.75" customHeight="1">
      <c r="C52" s="70"/>
    </row>
    <row r="53" ht="15.75" customHeight="1">
      <c r="C53" s="70"/>
    </row>
    <row r="54" ht="15.75" customHeight="1">
      <c r="C54" s="70"/>
    </row>
    <row r="55" ht="15.75" customHeight="1">
      <c r="C55" s="70"/>
    </row>
    <row r="56" ht="15.75" customHeight="1">
      <c r="C56" s="70"/>
    </row>
    <row r="57" ht="15.75" customHeight="1">
      <c r="C57" s="70"/>
    </row>
    <row r="58" ht="15.75" customHeight="1">
      <c r="C58" s="70"/>
    </row>
    <row r="59" ht="15.75" customHeight="1">
      <c r="C59" s="70"/>
    </row>
    <row r="60" ht="15.75" customHeight="1">
      <c r="A60" s="71" t="s">
        <v>186</v>
      </c>
      <c r="B60" s="68" t="s">
        <v>110</v>
      </c>
      <c r="C60" s="72">
        <f>SUM(C45:C59)</f>
        <v>0</v>
      </c>
    </row>
    <row r="61" ht="15.75" customHeight="1">
      <c r="C61" s="70"/>
    </row>
    <row r="62" ht="15.75" customHeight="1">
      <c r="A62" s="71" t="s">
        <v>187</v>
      </c>
      <c r="B62" s="68" t="s">
        <v>146</v>
      </c>
      <c r="C62" s="72">
        <f>C15+C29+C44+C60</f>
        <v>0</v>
      </c>
    </row>
    <row r="63" ht="15.75" customHeight="1">
      <c r="C63" s="70"/>
    </row>
    <row r="64" ht="15.75" customHeight="1">
      <c r="C64" s="70"/>
    </row>
    <row r="65" ht="15.75" customHeight="1">
      <c r="C65" s="70"/>
    </row>
    <row r="66" ht="15.75" customHeight="1">
      <c r="C66" s="70"/>
    </row>
    <row r="67" ht="15.75" customHeight="1">
      <c r="C67" s="70"/>
    </row>
    <row r="68" ht="15.75" customHeight="1">
      <c r="C68" s="70"/>
    </row>
    <row r="69" ht="15.75" customHeight="1">
      <c r="C69" s="70"/>
    </row>
    <row r="70" ht="15.75" customHeight="1">
      <c r="C70" s="70"/>
    </row>
    <row r="71" ht="15.75" customHeight="1">
      <c r="C71" s="70"/>
    </row>
    <row r="72" ht="15.75" customHeight="1">
      <c r="C72" s="70"/>
    </row>
    <row r="73" ht="15.75" customHeight="1">
      <c r="C73" s="70"/>
    </row>
    <row r="74" ht="15.75" customHeight="1">
      <c r="C74" s="70"/>
    </row>
    <row r="75" ht="15.75" customHeight="1">
      <c r="C75" s="70"/>
    </row>
    <row r="76" ht="15.75" customHeight="1">
      <c r="C76" s="70"/>
    </row>
    <row r="77" ht="15.75" customHeight="1">
      <c r="C77" s="70"/>
    </row>
    <row r="78" ht="15.75" customHeight="1">
      <c r="C78" s="70"/>
    </row>
    <row r="79" ht="15.75" customHeight="1">
      <c r="C79" s="70"/>
    </row>
    <row r="80" ht="15.75" customHeight="1">
      <c r="C80" s="70"/>
    </row>
    <row r="81" ht="15.75" customHeight="1">
      <c r="C81" s="70"/>
    </row>
    <row r="82" ht="15.75" customHeight="1">
      <c r="C82" s="70"/>
    </row>
    <row r="83" ht="15.75" customHeight="1">
      <c r="C83" s="70"/>
    </row>
    <row r="84" ht="15.75" customHeight="1">
      <c r="C84" s="70"/>
    </row>
    <row r="85" ht="15.75" customHeight="1">
      <c r="C85" s="70"/>
    </row>
    <row r="86" ht="15.75" customHeight="1">
      <c r="C86" s="70"/>
    </row>
    <row r="87" ht="15.75" customHeight="1">
      <c r="C87" s="70"/>
    </row>
    <row r="88" ht="15.75" customHeight="1">
      <c r="C88" s="70"/>
    </row>
    <row r="89" ht="15.75" customHeight="1">
      <c r="C89" s="70"/>
    </row>
    <row r="90" ht="15.75" customHeight="1">
      <c r="C90" s="70"/>
    </row>
    <row r="91" ht="15.75" customHeight="1">
      <c r="C91" s="70"/>
    </row>
    <row r="92" ht="15.75" customHeight="1">
      <c r="C92" s="70"/>
    </row>
    <row r="93" ht="15.75" customHeight="1">
      <c r="C93" s="70"/>
    </row>
    <row r="94" ht="15.75" customHeight="1">
      <c r="C94" s="70"/>
    </row>
    <row r="95" ht="15.75" customHeight="1">
      <c r="C95" s="70"/>
    </row>
    <row r="96" ht="15.75" customHeight="1">
      <c r="C96" s="70"/>
    </row>
    <row r="97" ht="15.75" customHeight="1">
      <c r="C97" s="70"/>
    </row>
    <row r="98" ht="15.75" customHeight="1">
      <c r="C98" s="70"/>
    </row>
    <row r="99" ht="15.75" customHeight="1">
      <c r="C99" s="70"/>
    </row>
    <row r="100" ht="15.75" customHeight="1">
      <c r="C100" s="70"/>
    </row>
    <row r="101" ht="15.75" customHeight="1">
      <c r="C101" s="70"/>
    </row>
    <row r="102" ht="15.75" customHeight="1">
      <c r="C102" s="70"/>
    </row>
    <row r="103" ht="15.75" customHeight="1">
      <c r="C103" s="70"/>
    </row>
    <row r="104" ht="15.75" customHeight="1">
      <c r="C104" s="70"/>
    </row>
    <row r="105" ht="15.75" customHeight="1">
      <c r="C105" s="70"/>
    </row>
    <row r="106" ht="15.75" customHeight="1">
      <c r="C106" s="70"/>
    </row>
    <row r="107" ht="15.75" customHeight="1">
      <c r="C107" s="70"/>
    </row>
    <row r="108" ht="15.75" customHeight="1">
      <c r="C108" s="70"/>
    </row>
    <row r="109" ht="15.75" customHeight="1">
      <c r="C109" s="70"/>
    </row>
    <row r="110" ht="15.75" customHeight="1">
      <c r="C110" s="70"/>
    </row>
    <row r="111" ht="15.75" customHeight="1">
      <c r="C111" s="70"/>
    </row>
    <row r="112" ht="15.75" customHeight="1">
      <c r="C112" s="70"/>
    </row>
    <row r="113" ht="15.75" customHeight="1">
      <c r="C113" s="70"/>
    </row>
    <row r="114" ht="15.75" customHeight="1">
      <c r="C114" s="70"/>
    </row>
    <row r="115" ht="15.75" customHeight="1">
      <c r="C115" s="70"/>
    </row>
    <row r="116" ht="15.75" customHeight="1">
      <c r="C116" s="70"/>
    </row>
    <row r="117" ht="15.75" customHeight="1">
      <c r="C117" s="70"/>
    </row>
    <row r="118" ht="15.75" customHeight="1">
      <c r="C118" s="70"/>
    </row>
    <row r="119" ht="15.75" customHeight="1">
      <c r="C119" s="70"/>
    </row>
    <row r="120" ht="15.75" customHeight="1">
      <c r="C120" s="70"/>
    </row>
    <row r="121" ht="15.75" customHeight="1">
      <c r="C121" s="70"/>
    </row>
    <row r="122" ht="15.75" customHeight="1">
      <c r="C122" s="70"/>
    </row>
    <row r="123" ht="15.75" customHeight="1">
      <c r="C123" s="70"/>
    </row>
    <row r="124" ht="15.75" customHeight="1">
      <c r="C124" s="70"/>
    </row>
    <row r="125" ht="15.75" customHeight="1">
      <c r="C125" s="70"/>
    </row>
    <row r="126" ht="15.75" customHeight="1">
      <c r="C126" s="70"/>
    </row>
    <row r="127" ht="15.75" customHeight="1">
      <c r="C127" s="70"/>
    </row>
    <row r="128" ht="15.75" customHeight="1">
      <c r="C128" s="70"/>
    </row>
    <row r="129" ht="15.75" customHeight="1">
      <c r="C129" s="70"/>
    </row>
    <row r="130" ht="15.75" customHeight="1">
      <c r="C130" s="70"/>
    </row>
    <row r="131" ht="15.75" customHeight="1">
      <c r="C131" s="70"/>
    </row>
    <row r="132" ht="15.75" customHeight="1">
      <c r="C132" s="70"/>
    </row>
    <row r="133" ht="15.75" customHeight="1">
      <c r="C133" s="70"/>
    </row>
    <row r="134" ht="15.75" customHeight="1">
      <c r="C134" s="70"/>
    </row>
    <row r="135" ht="15.75" customHeight="1">
      <c r="C135" s="70"/>
    </row>
    <row r="136" ht="15.75" customHeight="1">
      <c r="C136" s="70"/>
    </row>
    <row r="137" ht="15.75" customHeight="1">
      <c r="C137" s="70"/>
    </row>
    <row r="138" ht="15.75" customHeight="1">
      <c r="C138" s="70"/>
    </row>
    <row r="139" ht="15.75" customHeight="1">
      <c r="C139" s="70"/>
    </row>
    <row r="140" ht="15.75" customHeight="1">
      <c r="C140" s="70"/>
    </row>
    <row r="141" ht="15.75" customHeight="1">
      <c r="C141" s="70"/>
    </row>
    <row r="142" ht="15.75" customHeight="1">
      <c r="C142" s="70"/>
    </row>
    <row r="143" ht="15.75" customHeight="1">
      <c r="C143" s="70"/>
    </row>
    <row r="144" ht="15.75" customHeight="1">
      <c r="C144" s="70"/>
    </row>
    <row r="145" ht="15.75" customHeight="1">
      <c r="C145" s="70"/>
    </row>
    <row r="146" ht="15.75" customHeight="1">
      <c r="C146" s="70"/>
    </row>
    <row r="147" ht="15.75" customHeight="1">
      <c r="C147" s="70"/>
    </row>
    <row r="148" ht="15.75" customHeight="1">
      <c r="C148" s="70"/>
    </row>
    <row r="149" ht="15.75" customHeight="1">
      <c r="C149" s="70"/>
    </row>
    <row r="150" ht="15.75" customHeight="1">
      <c r="C150" s="70"/>
    </row>
    <row r="151" ht="15.75" customHeight="1">
      <c r="C151" s="70"/>
    </row>
    <row r="152" ht="15.75" customHeight="1">
      <c r="C152" s="70"/>
    </row>
    <row r="153" ht="15.75" customHeight="1">
      <c r="C153" s="70"/>
    </row>
    <row r="154" ht="15.75" customHeight="1">
      <c r="C154" s="70"/>
    </row>
    <row r="155" ht="15.75" customHeight="1">
      <c r="C155" s="70"/>
    </row>
    <row r="156" ht="15.75" customHeight="1">
      <c r="C156" s="70"/>
    </row>
    <row r="157" ht="15.75" customHeight="1">
      <c r="C157" s="70"/>
    </row>
    <row r="158" ht="15.75" customHeight="1">
      <c r="C158" s="70"/>
    </row>
    <row r="159" ht="15.75" customHeight="1">
      <c r="C159" s="70"/>
    </row>
    <row r="160" ht="15.75" customHeight="1">
      <c r="C160" s="70"/>
    </row>
    <row r="161" ht="15.75" customHeight="1">
      <c r="C161" s="70"/>
    </row>
    <row r="162" ht="15.75" customHeight="1">
      <c r="C162" s="70"/>
    </row>
    <row r="163" ht="15.75" customHeight="1">
      <c r="C163" s="70"/>
    </row>
    <row r="164" ht="15.75" customHeight="1">
      <c r="C164" s="70"/>
    </row>
    <row r="165" ht="15.75" customHeight="1">
      <c r="C165" s="70"/>
    </row>
    <row r="166" ht="15.75" customHeight="1">
      <c r="C166" s="70"/>
    </row>
    <row r="167" ht="15.75" customHeight="1">
      <c r="C167" s="70"/>
    </row>
    <row r="168" ht="15.75" customHeight="1">
      <c r="C168" s="70"/>
    </row>
    <row r="169" ht="15.75" customHeight="1">
      <c r="C169" s="70"/>
    </row>
    <row r="170" ht="15.75" customHeight="1">
      <c r="C170" s="70"/>
    </row>
    <row r="171" ht="15.75" customHeight="1">
      <c r="C171" s="70"/>
    </row>
    <row r="172" ht="15.75" customHeight="1">
      <c r="C172" s="70"/>
    </row>
    <row r="173" ht="15.75" customHeight="1">
      <c r="C173" s="70"/>
    </row>
    <row r="174" ht="15.75" customHeight="1">
      <c r="C174" s="70"/>
    </row>
    <row r="175" ht="15.75" customHeight="1">
      <c r="C175" s="70"/>
    </row>
    <row r="176" ht="15.75" customHeight="1">
      <c r="C176" s="70"/>
    </row>
    <row r="177" ht="15.75" customHeight="1">
      <c r="C177" s="70"/>
    </row>
    <row r="178" ht="15.75" customHeight="1">
      <c r="C178" s="70"/>
    </row>
    <row r="179" ht="15.75" customHeight="1">
      <c r="C179" s="70"/>
    </row>
    <row r="180" ht="15.75" customHeight="1">
      <c r="C180" s="70"/>
    </row>
    <row r="181" ht="15.75" customHeight="1">
      <c r="C181" s="70"/>
    </row>
    <row r="182" ht="15.75" customHeight="1">
      <c r="C182" s="70"/>
    </row>
    <row r="183" ht="15.75" customHeight="1">
      <c r="C183" s="70"/>
    </row>
    <row r="184" ht="15.75" customHeight="1">
      <c r="C184" s="70"/>
    </row>
    <row r="185" ht="15.75" customHeight="1">
      <c r="C185" s="70"/>
    </row>
    <row r="186" ht="15.75" customHeight="1">
      <c r="C186" s="70"/>
    </row>
    <row r="187" ht="15.75" customHeight="1">
      <c r="C187" s="70"/>
    </row>
    <row r="188" ht="15.75" customHeight="1">
      <c r="C188" s="70"/>
    </row>
    <row r="189" ht="15.75" customHeight="1">
      <c r="C189" s="70"/>
    </row>
    <row r="190" ht="15.75" customHeight="1">
      <c r="C190" s="70"/>
    </row>
    <row r="191" ht="15.75" customHeight="1">
      <c r="C191" s="70"/>
    </row>
    <row r="192" ht="15.75" customHeight="1">
      <c r="C192" s="70"/>
    </row>
    <row r="193" ht="15.75" customHeight="1">
      <c r="C193" s="70"/>
    </row>
    <row r="194" ht="15.75" customHeight="1">
      <c r="C194" s="70"/>
    </row>
    <row r="195" ht="15.75" customHeight="1">
      <c r="C195" s="70"/>
    </row>
    <row r="196" ht="15.75" customHeight="1">
      <c r="C196" s="70"/>
    </row>
    <row r="197" ht="15.75" customHeight="1">
      <c r="C197" s="70"/>
    </row>
    <row r="198" ht="15.75" customHeight="1">
      <c r="C198" s="70"/>
    </row>
    <row r="199" ht="15.75" customHeight="1">
      <c r="C199" s="70"/>
    </row>
    <row r="200" ht="15.75" customHeight="1">
      <c r="C200" s="70"/>
    </row>
    <row r="201" ht="15.75" customHeight="1">
      <c r="C201" s="70"/>
    </row>
    <row r="202" ht="15.75" customHeight="1">
      <c r="C202" s="70"/>
    </row>
    <row r="203" ht="15.75" customHeight="1">
      <c r="C203" s="70"/>
    </row>
    <row r="204" ht="15.75" customHeight="1">
      <c r="C204" s="70"/>
    </row>
    <row r="205" ht="15.75" customHeight="1">
      <c r="C205" s="70"/>
    </row>
    <row r="206" ht="15.75" customHeight="1">
      <c r="C206" s="70"/>
    </row>
    <row r="207" ht="15.75" customHeight="1">
      <c r="C207" s="70"/>
    </row>
    <row r="208" ht="15.75" customHeight="1">
      <c r="C208" s="70"/>
    </row>
    <row r="209" ht="15.75" customHeight="1">
      <c r="C209" s="70"/>
    </row>
    <row r="210" ht="15.75" customHeight="1">
      <c r="C210" s="70"/>
    </row>
    <row r="211" ht="15.75" customHeight="1">
      <c r="C211" s="70"/>
    </row>
    <row r="212" ht="15.75" customHeight="1">
      <c r="C212" s="70"/>
    </row>
    <row r="213" ht="15.75" customHeight="1">
      <c r="C213" s="70"/>
    </row>
    <row r="214" ht="15.75" customHeight="1">
      <c r="C214" s="70"/>
    </row>
    <row r="215" ht="15.75" customHeight="1">
      <c r="C215" s="70"/>
    </row>
    <row r="216" ht="15.75" customHeight="1">
      <c r="C216" s="70"/>
    </row>
    <row r="217" ht="15.75" customHeight="1">
      <c r="C217" s="70"/>
    </row>
    <row r="218" ht="15.75" customHeight="1">
      <c r="C218" s="70"/>
    </row>
    <row r="219" ht="15.75" customHeight="1">
      <c r="C219" s="70"/>
    </row>
    <row r="220" ht="15.75" customHeight="1">
      <c r="C220" s="70"/>
    </row>
    <row r="221" ht="15.75" customHeight="1">
      <c r="C221" s="70"/>
    </row>
    <row r="222" ht="15.75" customHeight="1">
      <c r="C222" s="70"/>
    </row>
    <row r="223" ht="15.75" customHeight="1">
      <c r="C223" s="70"/>
    </row>
    <row r="224" ht="15.75" customHeight="1">
      <c r="C224" s="70"/>
    </row>
    <row r="225" ht="15.75" customHeight="1">
      <c r="C225" s="70"/>
    </row>
    <row r="226" ht="15.75" customHeight="1">
      <c r="C226" s="70"/>
    </row>
    <row r="227" ht="15.75" customHeight="1">
      <c r="C227" s="70"/>
    </row>
    <row r="228" ht="15.75" customHeight="1">
      <c r="C228" s="70"/>
    </row>
    <row r="229" ht="15.75" customHeight="1">
      <c r="C229" s="70"/>
    </row>
    <row r="230" ht="15.75" customHeight="1">
      <c r="C230" s="70"/>
    </row>
    <row r="231" ht="15.75" customHeight="1">
      <c r="C231" s="70"/>
    </row>
    <row r="232" ht="15.75" customHeight="1">
      <c r="C232" s="70"/>
    </row>
    <row r="233" ht="15.75" customHeight="1">
      <c r="C233" s="70"/>
    </row>
    <row r="234" ht="15.75" customHeight="1">
      <c r="C234" s="70"/>
    </row>
    <row r="235" ht="15.75" customHeight="1">
      <c r="C235" s="70"/>
    </row>
    <row r="236" ht="15.75" customHeight="1">
      <c r="C236" s="70"/>
    </row>
    <row r="237" ht="15.75" customHeight="1">
      <c r="C237" s="70"/>
    </row>
    <row r="238" ht="15.75" customHeight="1">
      <c r="C238" s="70"/>
    </row>
    <row r="239" ht="15.75" customHeight="1">
      <c r="C239" s="70"/>
    </row>
    <row r="240" ht="15.75" customHeight="1">
      <c r="C240" s="70"/>
    </row>
    <row r="241" ht="15.75" customHeight="1">
      <c r="C241" s="70"/>
    </row>
    <row r="242" ht="15.75" customHeight="1">
      <c r="C242" s="70"/>
    </row>
    <row r="243" ht="15.75" customHeight="1">
      <c r="C243" s="70"/>
    </row>
    <row r="244" ht="15.75" customHeight="1">
      <c r="C244" s="70"/>
    </row>
    <row r="245" ht="15.75" customHeight="1">
      <c r="C245" s="70"/>
    </row>
    <row r="246" ht="15.75" customHeight="1">
      <c r="C246" s="70"/>
    </row>
    <row r="247" ht="15.75" customHeight="1">
      <c r="C247" s="70"/>
    </row>
    <row r="248" ht="15.75" customHeight="1">
      <c r="C248" s="70"/>
    </row>
    <row r="249" ht="15.75" customHeight="1">
      <c r="C249" s="70"/>
    </row>
    <row r="250" ht="15.75" customHeight="1">
      <c r="C250" s="70"/>
    </row>
    <row r="251" ht="15.75" customHeight="1">
      <c r="C251" s="70"/>
    </row>
    <row r="252" ht="15.75" customHeight="1">
      <c r="C252" s="70"/>
    </row>
    <row r="253" ht="15.75" customHeight="1">
      <c r="C253" s="70"/>
    </row>
    <row r="254" ht="15.75" customHeight="1">
      <c r="C254" s="70"/>
    </row>
    <row r="255" ht="15.75" customHeight="1">
      <c r="C255" s="70"/>
    </row>
    <row r="256" ht="15.75" customHeight="1">
      <c r="C256" s="70"/>
    </row>
    <row r="257" ht="15.75" customHeight="1">
      <c r="C257" s="70"/>
    </row>
    <row r="258" ht="15.75" customHeight="1">
      <c r="C258" s="70"/>
    </row>
    <row r="259" ht="15.75" customHeight="1">
      <c r="C259" s="70"/>
    </row>
    <row r="260" ht="15.75" customHeight="1">
      <c r="C260" s="70"/>
    </row>
    <row r="261" ht="15.75" customHeight="1">
      <c r="C261" s="70"/>
    </row>
    <row r="262" ht="15.75" customHeight="1">
      <c r="C262" s="70"/>
    </row>
    <row r="263" ht="15.75" customHeight="1">
      <c r="C263" s="70"/>
    </row>
    <row r="264" ht="15.75" customHeight="1">
      <c r="C264" s="70"/>
    </row>
    <row r="265" ht="15.75" customHeight="1">
      <c r="C265" s="70"/>
    </row>
    <row r="266" ht="15.75" customHeight="1">
      <c r="C266" s="70"/>
    </row>
    <row r="267" ht="15.75" customHeight="1">
      <c r="C267" s="70"/>
    </row>
    <row r="268" ht="15.75" customHeight="1">
      <c r="C268" s="70"/>
    </row>
    <row r="269" ht="15.75" customHeight="1">
      <c r="C269" s="70"/>
    </row>
    <row r="270" ht="15.75" customHeight="1">
      <c r="C270" s="70"/>
    </row>
    <row r="271" ht="15.75" customHeight="1">
      <c r="C271" s="70"/>
    </row>
    <row r="272" ht="15.75" customHeight="1">
      <c r="C272" s="70"/>
    </row>
    <row r="273" ht="15.75" customHeight="1">
      <c r="C273" s="70"/>
    </row>
    <row r="274" ht="15.75" customHeight="1">
      <c r="C274" s="70"/>
    </row>
    <row r="275" ht="15.75" customHeight="1">
      <c r="C275" s="70"/>
    </row>
    <row r="276" ht="15.75" customHeight="1">
      <c r="C276" s="70"/>
    </row>
    <row r="277" ht="15.75" customHeight="1">
      <c r="C277" s="70"/>
    </row>
    <row r="278" ht="15.75" customHeight="1">
      <c r="C278" s="70"/>
    </row>
    <row r="279" ht="15.75" customHeight="1">
      <c r="C279" s="70"/>
    </row>
    <row r="280" ht="15.75" customHeight="1">
      <c r="C280" s="70"/>
    </row>
    <row r="281" ht="15.75" customHeight="1">
      <c r="C281" s="70"/>
    </row>
    <row r="282" ht="15.75" customHeight="1">
      <c r="C282" s="70"/>
    </row>
    <row r="283" ht="15.75" customHeight="1">
      <c r="C283" s="70"/>
    </row>
    <row r="284" ht="15.75" customHeight="1">
      <c r="C284" s="70"/>
    </row>
    <row r="285" ht="15.75" customHeight="1">
      <c r="C285" s="70"/>
    </row>
    <row r="286" ht="15.75" customHeight="1">
      <c r="C286" s="70"/>
    </row>
    <row r="287" ht="15.75" customHeight="1">
      <c r="C287" s="70"/>
    </row>
    <row r="288" ht="15.75" customHeight="1">
      <c r="C288" s="70"/>
    </row>
    <row r="289" ht="15.75" customHeight="1">
      <c r="C289" s="70"/>
    </row>
    <row r="290" ht="15.75" customHeight="1">
      <c r="C290" s="70"/>
    </row>
    <row r="291" ht="15.75" customHeight="1">
      <c r="C291" s="70"/>
    </row>
    <row r="292" ht="15.75" customHeight="1">
      <c r="C292" s="70"/>
    </row>
    <row r="293" ht="15.75" customHeight="1">
      <c r="C293" s="70"/>
    </row>
    <row r="294" ht="15.75" customHeight="1">
      <c r="C294" s="70"/>
    </row>
    <row r="295" ht="15.75" customHeight="1">
      <c r="C295" s="70"/>
    </row>
    <row r="296" ht="15.75" customHeight="1">
      <c r="C296" s="70"/>
    </row>
    <row r="297" ht="15.75" customHeight="1">
      <c r="C297" s="70"/>
    </row>
    <row r="298" ht="15.75" customHeight="1">
      <c r="C298" s="70"/>
    </row>
    <row r="299" ht="15.75" customHeight="1">
      <c r="C299" s="70"/>
    </row>
    <row r="300" ht="15.75" customHeight="1">
      <c r="C300" s="70"/>
    </row>
    <row r="301" ht="15.75" customHeight="1">
      <c r="C301" s="70"/>
    </row>
    <row r="302" ht="15.75" customHeight="1">
      <c r="C302" s="70"/>
    </row>
    <row r="303" ht="15.75" customHeight="1">
      <c r="C303" s="70"/>
    </row>
    <row r="304" ht="15.75" customHeight="1">
      <c r="C304" s="70"/>
    </row>
    <row r="305" ht="15.75" customHeight="1">
      <c r="C305" s="70"/>
    </row>
    <row r="306" ht="15.75" customHeight="1">
      <c r="C306" s="70"/>
    </row>
    <row r="307" ht="15.75" customHeight="1">
      <c r="C307" s="70"/>
    </row>
    <row r="308" ht="15.75" customHeight="1">
      <c r="C308" s="70"/>
    </row>
    <row r="309" ht="15.75" customHeight="1">
      <c r="C309" s="70"/>
    </row>
    <row r="310" ht="15.75" customHeight="1">
      <c r="C310" s="70"/>
    </row>
    <row r="311" ht="15.75" customHeight="1">
      <c r="C311" s="70"/>
    </row>
    <row r="312" ht="15.75" customHeight="1">
      <c r="C312" s="70"/>
    </row>
    <row r="313" ht="15.75" customHeight="1">
      <c r="C313" s="70"/>
    </row>
    <row r="314" ht="15.75" customHeight="1">
      <c r="C314" s="70"/>
    </row>
    <row r="315" ht="15.75" customHeight="1">
      <c r="C315" s="70"/>
    </row>
    <row r="316" ht="15.75" customHeight="1">
      <c r="C316" s="70"/>
    </row>
    <row r="317" ht="15.75" customHeight="1">
      <c r="C317" s="70"/>
    </row>
    <row r="318" ht="15.75" customHeight="1">
      <c r="C318" s="70"/>
    </row>
    <row r="319" ht="15.75" customHeight="1">
      <c r="C319" s="70"/>
    </row>
    <row r="320" ht="15.75" customHeight="1">
      <c r="C320" s="70"/>
    </row>
    <row r="321" ht="15.75" customHeight="1">
      <c r="C321" s="70"/>
    </row>
    <row r="322" ht="15.75" customHeight="1">
      <c r="C322" s="70"/>
    </row>
    <row r="323" ht="15.75" customHeight="1">
      <c r="C323" s="70"/>
    </row>
    <row r="324" ht="15.75" customHeight="1">
      <c r="C324" s="70"/>
    </row>
    <row r="325" ht="15.75" customHeight="1">
      <c r="C325" s="70"/>
    </row>
    <row r="326" ht="15.75" customHeight="1">
      <c r="C326" s="70"/>
    </row>
    <row r="327" ht="15.75" customHeight="1">
      <c r="C327" s="70"/>
    </row>
    <row r="328" ht="15.75" customHeight="1">
      <c r="C328" s="70"/>
    </row>
    <row r="329" ht="15.75" customHeight="1">
      <c r="C329" s="70"/>
    </row>
    <row r="330" ht="15.75" customHeight="1">
      <c r="C330" s="70"/>
    </row>
    <row r="331" ht="15.75" customHeight="1">
      <c r="C331" s="70"/>
    </row>
    <row r="332" ht="15.75" customHeight="1">
      <c r="C332" s="70"/>
    </row>
    <row r="333" ht="15.75" customHeight="1">
      <c r="C333" s="70"/>
    </row>
    <row r="334" ht="15.75" customHeight="1">
      <c r="C334" s="70"/>
    </row>
    <row r="335" ht="15.75" customHeight="1">
      <c r="C335" s="70"/>
    </row>
    <row r="336" ht="15.75" customHeight="1">
      <c r="C336" s="70"/>
    </row>
    <row r="337" ht="15.75" customHeight="1">
      <c r="C337" s="70"/>
    </row>
    <row r="338" ht="15.75" customHeight="1">
      <c r="C338" s="70"/>
    </row>
    <row r="339" ht="15.75" customHeight="1">
      <c r="C339" s="70"/>
    </row>
    <row r="340" ht="15.75" customHeight="1">
      <c r="C340" s="70"/>
    </row>
    <row r="341" ht="15.75" customHeight="1">
      <c r="C341" s="70"/>
    </row>
    <row r="342" ht="15.75" customHeight="1">
      <c r="C342" s="70"/>
    </row>
    <row r="343" ht="15.75" customHeight="1">
      <c r="C343" s="70"/>
    </row>
    <row r="344" ht="15.75" customHeight="1">
      <c r="C344" s="70"/>
    </row>
    <row r="345" ht="15.75" customHeight="1">
      <c r="C345" s="70"/>
    </row>
    <row r="346" ht="15.75" customHeight="1">
      <c r="C346" s="70"/>
    </row>
    <row r="347" ht="15.75" customHeight="1">
      <c r="C347" s="70"/>
    </row>
    <row r="348" ht="15.75" customHeight="1">
      <c r="C348" s="70"/>
    </row>
    <row r="349" ht="15.75" customHeight="1">
      <c r="C349" s="70"/>
    </row>
    <row r="350" ht="15.75" customHeight="1">
      <c r="C350" s="70"/>
    </row>
    <row r="351" ht="15.75" customHeight="1">
      <c r="C351" s="70"/>
    </row>
    <row r="352" ht="15.75" customHeight="1">
      <c r="C352" s="70"/>
    </row>
    <row r="353" ht="15.75" customHeight="1">
      <c r="C353" s="70"/>
    </row>
    <row r="354" ht="15.75" customHeight="1">
      <c r="C354" s="70"/>
    </row>
    <row r="355" ht="15.75" customHeight="1">
      <c r="C355" s="70"/>
    </row>
    <row r="356" ht="15.75" customHeight="1">
      <c r="C356" s="70"/>
    </row>
    <row r="357" ht="15.75" customHeight="1">
      <c r="C357" s="70"/>
    </row>
    <row r="358" ht="15.75" customHeight="1">
      <c r="C358" s="70"/>
    </row>
    <row r="359" ht="15.75" customHeight="1">
      <c r="C359" s="70"/>
    </row>
    <row r="360" ht="15.75" customHeight="1">
      <c r="C360" s="70"/>
    </row>
    <row r="361" ht="15.75" customHeight="1">
      <c r="C361" s="70"/>
    </row>
    <row r="362" ht="15.75" customHeight="1">
      <c r="C362" s="70"/>
    </row>
    <row r="363" ht="15.75" customHeight="1">
      <c r="C363" s="70"/>
    </row>
    <row r="364" ht="15.75" customHeight="1">
      <c r="C364" s="70"/>
    </row>
    <row r="365" ht="15.75" customHeight="1">
      <c r="C365" s="70"/>
    </row>
    <row r="366" ht="15.75" customHeight="1">
      <c r="C366" s="70"/>
    </row>
    <row r="367" ht="15.75" customHeight="1">
      <c r="C367" s="70"/>
    </row>
    <row r="368" ht="15.75" customHeight="1">
      <c r="C368" s="70"/>
    </row>
    <row r="369" ht="15.75" customHeight="1">
      <c r="C369" s="70"/>
    </row>
    <row r="370" ht="15.75" customHeight="1">
      <c r="C370" s="70"/>
    </row>
    <row r="371" ht="15.75" customHeight="1">
      <c r="C371" s="70"/>
    </row>
    <row r="372" ht="15.75" customHeight="1">
      <c r="C372" s="70"/>
    </row>
    <row r="373" ht="15.75" customHeight="1">
      <c r="C373" s="70"/>
    </row>
    <row r="374" ht="15.75" customHeight="1">
      <c r="C374" s="70"/>
    </row>
    <row r="375" ht="15.75" customHeight="1">
      <c r="C375" s="70"/>
    </row>
    <row r="376" ht="15.75" customHeight="1">
      <c r="C376" s="70"/>
    </row>
    <row r="377" ht="15.75" customHeight="1">
      <c r="C377" s="70"/>
    </row>
    <row r="378" ht="15.75" customHeight="1">
      <c r="C378" s="70"/>
    </row>
    <row r="379" ht="15.75" customHeight="1">
      <c r="C379" s="70"/>
    </row>
    <row r="380" ht="15.75" customHeight="1">
      <c r="C380" s="70"/>
    </row>
    <row r="381" ht="15.75" customHeight="1">
      <c r="C381" s="70"/>
    </row>
    <row r="382" ht="15.75" customHeight="1">
      <c r="C382" s="70"/>
    </row>
    <row r="383" ht="15.75" customHeight="1">
      <c r="C383" s="70"/>
    </row>
    <row r="384" ht="15.75" customHeight="1">
      <c r="C384" s="70"/>
    </row>
    <row r="385" ht="15.75" customHeight="1">
      <c r="C385" s="70"/>
    </row>
    <row r="386" ht="15.75" customHeight="1">
      <c r="C386" s="70"/>
    </row>
    <row r="387" ht="15.75" customHeight="1">
      <c r="C387" s="70"/>
    </row>
    <row r="388" ht="15.75" customHeight="1">
      <c r="C388" s="70"/>
    </row>
    <row r="389" ht="15.75" customHeight="1">
      <c r="C389" s="70"/>
    </row>
    <row r="390" ht="15.75" customHeight="1">
      <c r="C390" s="70"/>
    </row>
    <row r="391" ht="15.75" customHeight="1">
      <c r="C391" s="70"/>
    </row>
    <row r="392" ht="15.75" customHeight="1">
      <c r="C392" s="70"/>
    </row>
    <row r="393" ht="15.75" customHeight="1">
      <c r="C393" s="70"/>
    </row>
    <row r="394" ht="15.75" customHeight="1">
      <c r="C394" s="70"/>
    </row>
    <row r="395" ht="15.75" customHeight="1">
      <c r="C395" s="70"/>
    </row>
    <row r="396" ht="15.75" customHeight="1">
      <c r="C396" s="70"/>
    </row>
    <row r="397" ht="15.75" customHeight="1">
      <c r="C397" s="70"/>
    </row>
    <row r="398" ht="15.75" customHeight="1">
      <c r="C398" s="70"/>
    </row>
    <row r="399" ht="15.75" customHeight="1">
      <c r="C399" s="70"/>
    </row>
    <row r="400" ht="15.75" customHeight="1">
      <c r="C400" s="70"/>
    </row>
    <row r="401" ht="15.75" customHeight="1">
      <c r="C401" s="70"/>
    </row>
    <row r="402" ht="15.75" customHeight="1">
      <c r="C402" s="70"/>
    </row>
    <row r="403" ht="15.75" customHeight="1">
      <c r="C403" s="70"/>
    </row>
    <row r="404" ht="15.75" customHeight="1">
      <c r="C404" s="70"/>
    </row>
    <row r="405" ht="15.75" customHeight="1">
      <c r="C405" s="70"/>
    </row>
    <row r="406" ht="15.75" customHeight="1">
      <c r="C406" s="70"/>
    </row>
    <row r="407" ht="15.75" customHeight="1">
      <c r="C407" s="70"/>
    </row>
    <row r="408" ht="15.75" customHeight="1">
      <c r="C408" s="70"/>
    </row>
    <row r="409" ht="15.75" customHeight="1">
      <c r="C409" s="70"/>
    </row>
    <row r="410" ht="15.75" customHeight="1">
      <c r="C410" s="70"/>
    </row>
    <row r="411" ht="15.75" customHeight="1">
      <c r="C411" s="70"/>
    </row>
    <row r="412" ht="15.75" customHeight="1">
      <c r="C412" s="70"/>
    </row>
    <row r="413" ht="15.75" customHeight="1">
      <c r="C413" s="70"/>
    </row>
    <row r="414" ht="15.75" customHeight="1">
      <c r="C414" s="70"/>
    </row>
    <row r="415" ht="15.75" customHeight="1">
      <c r="C415" s="70"/>
    </row>
    <row r="416" ht="15.75" customHeight="1">
      <c r="C416" s="70"/>
    </row>
    <row r="417" ht="15.75" customHeight="1">
      <c r="C417" s="70"/>
    </row>
    <row r="418" ht="15.75" customHeight="1">
      <c r="C418" s="70"/>
    </row>
    <row r="419" ht="15.75" customHeight="1">
      <c r="C419" s="70"/>
    </row>
    <row r="420" ht="15.75" customHeight="1">
      <c r="C420" s="70"/>
    </row>
    <row r="421" ht="15.75" customHeight="1">
      <c r="C421" s="70"/>
    </row>
    <row r="422" ht="15.75" customHeight="1">
      <c r="C422" s="70"/>
    </row>
    <row r="423" ht="15.75" customHeight="1">
      <c r="C423" s="70"/>
    </row>
    <row r="424" ht="15.75" customHeight="1">
      <c r="C424" s="70"/>
    </row>
    <row r="425" ht="15.75" customHeight="1">
      <c r="C425" s="70"/>
    </row>
    <row r="426" ht="15.75" customHeight="1">
      <c r="C426" s="70"/>
    </row>
    <row r="427" ht="15.75" customHeight="1">
      <c r="C427" s="70"/>
    </row>
    <row r="428" ht="15.75" customHeight="1">
      <c r="C428" s="70"/>
    </row>
    <row r="429" ht="15.75" customHeight="1">
      <c r="C429" s="70"/>
    </row>
    <row r="430" ht="15.75" customHeight="1">
      <c r="C430" s="70"/>
    </row>
    <row r="431" ht="15.75" customHeight="1">
      <c r="C431" s="70"/>
    </row>
    <row r="432" ht="15.75" customHeight="1">
      <c r="C432" s="70"/>
    </row>
    <row r="433" ht="15.75" customHeight="1">
      <c r="C433" s="70"/>
    </row>
    <row r="434" ht="15.75" customHeight="1">
      <c r="C434" s="70"/>
    </row>
    <row r="435" ht="15.75" customHeight="1">
      <c r="C435" s="70"/>
    </row>
    <row r="436" ht="15.75" customHeight="1">
      <c r="C436" s="70"/>
    </row>
    <row r="437" ht="15.75" customHeight="1">
      <c r="C437" s="70"/>
    </row>
    <row r="438" ht="15.75" customHeight="1">
      <c r="C438" s="70"/>
    </row>
    <row r="439" ht="15.75" customHeight="1">
      <c r="C439" s="70"/>
    </row>
    <row r="440" ht="15.75" customHeight="1">
      <c r="C440" s="70"/>
    </row>
    <row r="441" ht="15.75" customHeight="1">
      <c r="C441" s="70"/>
    </row>
    <row r="442" ht="15.75" customHeight="1">
      <c r="C442" s="70"/>
    </row>
    <row r="443" ht="15.75" customHeight="1">
      <c r="C443" s="70"/>
    </row>
    <row r="444" ht="15.75" customHeight="1">
      <c r="C444" s="70"/>
    </row>
    <row r="445" ht="15.75" customHeight="1">
      <c r="C445" s="70"/>
    </row>
    <row r="446" ht="15.75" customHeight="1">
      <c r="C446" s="70"/>
    </row>
    <row r="447" ht="15.75" customHeight="1">
      <c r="C447" s="70"/>
    </row>
    <row r="448" ht="15.75" customHeight="1">
      <c r="C448" s="70"/>
    </row>
    <row r="449" ht="15.75" customHeight="1">
      <c r="C449" s="70"/>
    </row>
    <row r="450" ht="15.75" customHeight="1">
      <c r="C450" s="70"/>
    </row>
    <row r="451" ht="15.75" customHeight="1">
      <c r="C451" s="70"/>
    </row>
    <row r="452" ht="15.75" customHeight="1">
      <c r="C452" s="70"/>
    </row>
    <row r="453" ht="15.75" customHeight="1">
      <c r="C453" s="70"/>
    </row>
    <row r="454" ht="15.75" customHeight="1">
      <c r="C454" s="70"/>
    </row>
    <row r="455" ht="15.75" customHeight="1">
      <c r="C455" s="70"/>
    </row>
    <row r="456" ht="15.75" customHeight="1">
      <c r="C456" s="70"/>
    </row>
    <row r="457" ht="15.75" customHeight="1">
      <c r="C457" s="70"/>
    </row>
    <row r="458" ht="15.75" customHeight="1">
      <c r="C458" s="70"/>
    </row>
    <row r="459" ht="15.75" customHeight="1">
      <c r="C459" s="70"/>
    </row>
    <row r="460" ht="15.75" customHeight="1">
      <c r="C460" s="70"/>
    </row>
    <row r="461" ht="15.75" customHeight="1">
      <c r="C461" s="70"/>
    </row>
    <row r="462" ht="15.75" customHeight="1">
      <c r="C462" s="70"/>
    </row>
    <row r="463" ht="15.75" customHeight="1">
      <c r="C463" s="70"/>
    </row>
    <row r="464" ht="15.75" customHeight="1">
      <c r="C464" s="70"/>
    </row>
    <row r="465" ht="15.75" customHeight="1">
      <c r="C465" s="70"/>
    </row>
    <row r="466" ht="15.75" customHeight="1">
      <c r="C466" s="70"/>
    </row>
    <row r="467" ht="15.75" customHeight="1">
      <c r="C467" s="70"/>
    </row>
    <row r="468" ht="15.75" customHeight="1">
      <c r="C468" s="70"/>
    </row>
    <row r="469" ht="15.75" customHeight="1">
      <c r="C469" s="70"/>
    </row>
    <row r="470" ht="15.75" customHeight="1">
      <c r="C470" s="70"/>
    </row>
    <row r="471" ht="15.75" customHeight="1">
      <c r="C471" s="70"/>
    </row>
    <row r="472" ht="15.75" customHeight="1">
      <c r="C472" s="70"/>
    </row>
    <row r="473" ht="15.75" customHeight="1">
      <c r="C473" s="70"/>
    </row>
    <row r="474" ht="15.75" customHeight="1">
      <c r="C474" s="70"/>
    </row>
    <row r="475" ht="15.75" customHeight="1">
      <c r="C475" s="70"/>
    </row>
    <row r="476" ht="15.75" customHeight="1">
      <c r="C476" s="70"/>
    </row>
    <row r="477" ht="15.75" customHeight="1">
      <c r="C477" s="70"/>
    </row>
    <row r="478" ht="15.75" customHeight="1">
      <c r="C478" s="70"/>
    </row>
    <row r="479" ht="15.75" customHeight="1">
      <c r="C479" s="70"/>
    </row>
    <row r="480" ht="15.75" customHeight="1">
      <c r="C480" s="70"/>
    </row>
    <row r="481" ht="15.75" customHeight="1">
      <c r="C481" s="70"/>
    </row>
    <row r="482" ht="15.75" customHeight="1">
      <c r="C482" s="70"/>
    </row>
    <row r="483" ht="15.75" customHeight="1">
      <c r="C483" s="70"/>
    </row>
    <row r="484" ht="15.75" customHeight="1">
      <c r="C484" s="70"/>
    </row>
    <row r="485" ht="15.75" customHeight="1">
      <c r="C485" s="70"/>
    </row>
    <row r="486" ht="15.75" customHeight="1">
      <c r="C486" s="70"/>
    </row>
    <row r="487" ht="15.75" customHeight="1">
      <c r="C487" s="70"/>
    </row>
    <row r="488" ht="15.75" customHeight="1">
      <c r="C488" s="70"/>
    </row>
    <row r="489" ht="15.75" customHeight="1">
      <c r="C489" s="70"/>
    </row>
    <row r="490" ht="15.75" customHeight="1">
      <c r="C490" s="70"/>
    </row>
    <row r="491" ht="15.75" customHeight="1">
      <c r="C491" s="70"/>
    </row>
    <row r="492" ht="15.75" customHeight="1">
      <c r="C492" s="70"/>
    </row>
    <row r="493" ht="15.75" customHeight="1">
      <c r="C493" s="70"/>
    </row>
    <row r="494" ht="15.75" customHeight="1">
      <c r="C494" s="70"/>
    </row>
    <row r="495" ht="15.75" customHeight="1">
      <c r="C495" s="70"/>
    </row>
    <row r="496" ht="15.75" customHeight="1">
      <c r="C496" s="70"/>
    </row>
    <row r="497" ht="15.75" customHeight="1">
      <c r="C497" s="70"/>
    </row>
    <row r="498" ht="15.75" customHeight="1">
      <c r="C498" s="70"/>
    </row>
    <row r="499" ht="15.75" customHeight="1">
      <c r="C499" s="70"/>
    </row>
    <row r="500" ht="15.75" customHeight="1">
      <c r="C500" s="70"/>
    </row>
    <row r="501" ht="15.75" customHeight="1">
      <c r="C501" s="70"/>
    </row>
    <row r="502" ht="15.75" customHeight="1">
      <c r="C502" s="70"/>
    </row>
    <row r="503" ht="15.75" customHeight="1">
      <c r="C503" s="70"/>
    </row>
    <row r="504" ht="15.75" customHeight="1">
      <c r="C504" s="70"/>
    </row>
    <row r="505" ht="15.75" customHeight="1">
      <c r="C505" s="70"/>
    </row>
    <row r="506" ht="15.75" customHeight="1">
      <c r="C506" s="70"/>
    </row>
    <row r="507" ht="15.75" customHeight="1">
      <c r="C507" s="70"/>
    </row>
    <row r="508" ht="15.75" customHeight="1">
      <c r="C508" s="70"/>
    </row>
    <row r="509" ht="15.75" customHeight="1">
      <c r="C509" s="70"/>
    </row>
    <row r="510" ht="15.75" customHeight="1">
      <c r="C510" s="70"/>
    </row>
    <row r="511" ht="15.75" customHeight="1">
      <c r="C511" s="70"/>
    </row>
    <row r="512" ht="15.75" customHeight="1">
      <c r="C512" s="70"/>
    </row>
    <row r="513" ht="15.75" customHeight="1">
      <c r="C513" s="70"/>
    </row>
    <row r="514" ht="15.75" customHeight="1">
      <c r="C514" s="70"/>
    </row>
    <row r="515" ht="15.75" customHeight="1">
      <c r="C515" s="70"/>
    </row>
    <row r="516" ht="15.75" customHeight="1">
      <c r="C516" s="70"/>
    </row>
    <row r="517" ht="15.75" customHeight="1">
      <c r="C517" s="70"/>
    </row>
    <row r="518" ht="15.75" customHeight="1">
      <c r="C518" s="70"/>
    </row>
    <row r="519" ht="15.75" customHeight="1">
      <c r="C519" s="70"/>
    </row>
    <row r="520" ht="15.75" customHeight="1">
      <c r="C520" s="70"/>
    </row>
    <row r="521" ht="15.75" customHeight="1">
      <c r="C521" s="70"/>
    </row>
    <row r="522" ht="15.75" customHeight="1">
      <c r="C522" s="70"/>
    </row>
    <row r="523" ht="15.75" customHeight="1">
      <c r="C523" s="70"/>
    </row>
    <row r="524" ht="15.75" customHeight="1">
      <c r="C524" s="70"/>
    </row>
    <row r="525" ht="15.75" customHeight="1">
      <c r="C525" s="70"/>
    </row>
    <row r="526" ht="15.75" customHeight="1">
      <c r="C526" s="70"/>
    </row>
    <row r="527" ht="15.75" customHeight="1">
      <c r="C527" s="70"/>
    </row>
    <row r="528" ht="15.75" customHeight="1">
      <c r="C528" s="70"/>
    </row>
    <row r="529" ht="15.75" customHeight="1">
      <c r="C529" s="70"/>
    </row>
    <row r="530" ht="15.75" customHeight="1">
      <c r="C530" s="70"/>
    </row>
    <row r="531" ht="15.75" customHeight="1">
      <c r="C531" s="70"/>
    </row>
    <row r="532" ht="15.75" customHeight="1">
      <c r="C532" s="70"/>
    </row>
    <row r="533" ht="15.75" customHeight="1">
      <c r="C533" s="70"/>
    </row>
    <row r="534" ht="15.75" customHeight="1">
      <c r="C534" s="70"/>
    </row>
    <row r="535" ht="15.75" customHeight="1">
      <c r="C535" s="70"/>
    </row>
    <row r="536" ht="15.75" customHeight="1">
      <c r="C536" s="70"/>
    </row>
    <row r="537" ht="15.75" customHeight="1">
      <c r="C537" s="70"/>
    </row>
    <row r="538" ht="15.75" customHeight="1">
      <c r="C538" s="70"/>
    </row>
    <row r="539" ht="15.75" customHeight="1">
      <c r="C539" s="70"/>
    </row>
    <row r="540" ht="15.75" customHeight="1">
      <c r="C540" s="70"/>
    </row>
    <row r="541" ht="15.75" customHeight="1">
      <c r="C541" s="70"/>
    </row>
    <row r="542" ht="15.75" customHeight="1">
      <c r="C542" s="70"/>
    </row>
    <row r="543" ht="15.75" customHeight="1">
      <c r="C543" s="70"/>
    </row>
    <row r="544" ht="15.75" customHeight="1">
      <c r="C544" s="70"/>
    </row>
    <row r="545" ht="15.75" customHeight="1">
      <c r="C545" s="70"/>
    </row>
    <row r="546" ht="15.75" customHeight="1">
      <c r="C546" s="70"/>
    </row>
    <row r="547" ht="15.75" customHeight="1">
      <c r="C547" s="70"/>
    </row>
    <row r="548" ht="15.75" customHeight="1">
      <c r="C548" s="70"/>
    </row>
    <row r="549" ht="15.75" customHeight="1">
      <c r="C549" s="70"/>
    </row>
    <row r="550" ht="15.75" customHeight="1">
      <c r="C550" s="70"/>
    </row>
    <row r="551" ht="15.75" customHeight="1">
      <c r="C551" s="70"/>
    </row>
    <row r="552" ht="15.75" customHeight="1">
      <c r="C552" s="70"/>
    </row>
    <row r="553" ht="15.75" customHeight="1">
      <c r="C553" s="70"/>
    </row>
    <row r="554" ht="15.75" customHeight="1">
      <c r="C554" s="70"/>
    </row>
    <row r="555" ht="15.75" customHeight="1">
      <c r="C555" s="70"/>
    </row>
    <row r="556" ht="15.75" customHeight="1">
      <c r="C556" s="70"/>
    </row>
    <row r="557" ht="15.75" customHeight="1">
      <c r="C557" s="70"/>
    </row>
    <row r="558" ht="15.75" customHeight="1">
      <c r="C558" s="70"/>
    </row>
    <row r="559" ht="15.75" customHeight="1">
      <c r="C559" s="70"/>
    </row>
    <row r="560" ht="15.75" customHeight="1">
      <c r="C560" s="70"/>
    </row>
    <row r="561" ht="15.75" customHeight="1">
      <c r="C561" s="70"/>
    </row>
    <row r="562" ht="15.75" customHeight="1">
      <c r="C562" s="70"/>
    </row>
    <row r="563" ht="15.75" customHeight="1">
      <c r="C563" s="70"/>
    </row>
    <row r="564" ht="15.75" customHeight="1">
      <c r="C564" s="70"/>
    </row>
    <row r="565" ht="15.75" customHeight="1">
      <c r="C565" s="70"/>
    </row>
    <row r="566" ht="15.75" customHeight="1">
      <c r="C566" s="70"/>
    </row>
    <row r="567" ht="15.75" customHeight="1">
      <c r="C567" s="70"/>
    </row>
    <row r="568" ht="15.75" customHeight="1">
      <c r="C568" s="70"/>
    </row>
    <row r="569" ht="15.75" customHeight="1">
      <c r="C569" s="70"/>
    </row>
    <row r="570" ht="15.75" customHeight="1">
      <c r="C570" s="70"/>
    </row>
    <row r="571" ht="15.75" customHeight="1">
      <c r="C571" s="70"/>
    </row>
    <row r="572" ht="15.75" customHeight="1">
      <c r="C572" s="70"/>
    </row>
    <row r="573" ht="15.75" customHeight="1">
      <c r="C573" s="70"/>
    </row>
    <row r="574" ht="15.75" customHeight="1">
      <c r="C574" s="70"/>
    </row>
    <row r="575" ht="15.75" customHeight="1">
      <c r="C575" s="70"/>
    </row>
    <row r="576" ht="15.75" customHeight="1">
      <c r="C576" s="70"/>
    </row>
    <row r="577" ht="15.75" customHeight="1">
      <c r="C577" s="70"/>
    </row>
    <row r="578" ht="15.75" customHeight="1">
      <c r="C578" s="70"/>
    </row>
    <row r="579" ht="15.75" customHeight="1">
      <c r="C579" s="70"/>
    </row>
    <row r="580" ht="15.75" customHeight="1">
      <c r="C580" s="70"/>
    </row>
    <row r="581" ht="15.75" customHeight="1">
      <c r="C581" s="70"/>
    </row>
    <row r="582" ht="15.75" customHeight="1">
      <c r="C582" s="70"/>
    </row>
    <row r="583" ht="15.75" customHeight="1">
      <c r="C583" s="70"/>
    </row>
    <row r="584" ht="15.75" customHeight="1">
      <c r="C584" s="70"/>
    </row>
    <row r="585" ht="15.75" customHeight="1">
      <c r="C585" s="70"/>
    </row>
    <row r="586" ht="15.75" customHeight="1">
      <c r="C586" s="70"/>
    </row>
    <row r="587" ht="15.75" customHeight="1">
      <c r="C587" s="70"/>
    </row>
    <row r="588" ht="15.75" customHeight="1">
      <c r="C588" s="70"/>
    </row>
    <row r="589" ht="15.75" customHeight="1">
      <c r="C589" s="70"/>
    </row>
    <row r="590" ht="15.75" customHeight="1">
      <c r="C590" s="70"/>
    </row>
    <row r="591" ht="15.75" customHeight="1">
      <c r="C591" s="70"/>
    </row>
    <row r="592" ht="15.75" customHeight="1">
      <c r="C592" s="70"/>
    </row>
    <row r="593" ht="15.75" customHeight="1">
      <c r="C593" s="70"/>
    </row>
    <row r="594" ht="15.75" customHeight="1">
      <c r="C594" s="70"/>
    </row>
    <row r="595" ht="15.75" customHeight="1">
      <c r="C595" s="70"/>
    </row>
    <row r="596" ht="15.75" customHeight="1">
      <c r="C596" s="70"/>
    </row>
    <row r="597" ht="15.75" customHeight="1">
      <c r="C597" s="70"/>
    </row>
    <row r="598" ht="15.75" customHeight="1">
      <c r="C598" s="70"/>
    </row>
    <row r="599" ht="15.75" customHeight="1">
      <c r="C599" s="70"/>
    </row>
    <row r="600" ht="15.75" customHeight="1">
      <c r="C600" s="70"/>
    </row>
    <row r="601" ht="15.75" customHeight="1">
      <c r="C601" s="70"/>
    </row>
    <row r="602" ht="15.75" customHeight="1">
      <c r="C602" s="70"/>
    </row>
    <row r="603" ht="15.75" customHeight="1">
      <c r="C603" s="70"/>
    </row>
    <row r="604" ht="15.75" customHeight="1">
      <c r="C604" s="70"/>
    </row>
    <row r="605" ht="15.75" customHeight="1">
      <c r="C605" s="70"/>
    </row>
    <row r="606" ht="15.75" customHeight="1">
      <c r="C606" s="70"/>
    </row>
    <row r="607" ht="15.75" customHeight="1">
      <c r="C607" s="70"/>
    </row>
    <row r="608" ht="15.75" customHeight="1">
      <c r="C608" s="70"/>
    </row>
    <row r="609" ht="15.75" customHeight="1">
      <c r="C609" s="70"/>
    </row>
    <row r="610" ht="15.75" customHeight="1">
      <c r="C610" s="70"/>
    </row>
    <row r="611" ht="15.75" customHeight="1">
      <c r="C611" s="70"/>
    </row>
    <row r="612" ht="15.75" customHeight="1">
      <c r="C612" s="70"/>
    </row>
    <row r="613" ht="15.75" customHeight="1">
      <c r="C613" s="70"/>
    </row>
    <row r="614" ht="15.75" customHeight="1">
      <c r="C614" s="70"/>
    </row>
    <row r="615" ht="15.75" customHeight="1">
      <c r="C615" s="70"/>
    </row>
    <row r="616" ht="15.75" customHeight="1">
      <c r="C616" s="70"/>
    </row>
    <row r="617" ht="15.75" customHeight="1">
      <c r="C617" s="70"/>
    </row>
    <row r="618" ht="15.75" customHeight="1">
      <c r="C618" s="70"/>
    </row>
    <row r="619" ht="15.75" customHeight="1">
      <c r="C619" s="70"/>
    </row>
    <row r="620" ht="15.75" customHeight="1">
      <c r="C620" s="70"/>
    </row>
    <row r="621" ht="15.75" customHeight="1">
      <c r="C621" s="70"/>
    </row>
    <row r="622" ht="15.75" customHeight="1">
      <c r="C622" s="70"/>
    </row>
    <row r="623" ht="15.75" customHeight="1">
      <c r="C623" s="70"/>
    </row>
    <row r="624" ht="15.75" customHeight="1">
      <c r="C624" s="70"/>
    </row>
    <row r="625" ht="15.75" customHeight="1">
      <c r="C625" s="70"/>
    </row>
    <row r="626" ht="15.75" customHeight="1">
      <c r="C626" s="70"/>
    </row>
    <row r="627" ht="15.75" customHeight="1">
      <c r="C627" s="70"/>
    </row>
    <row r="628" ht="15.75" customHeight="1">
      <c r="C628" s="70"/>
    </row>
    <row r="629" ht="15.75" customHeight="1">
      <c r="C629" s="70"/>
    </row>
    <row r="630" ht="15.75" customHeight="1">
      <c r="C630" s="70"/>
    </row>
    <row r="631" ht="15.75" customHeight="1">
      <c r="C631" s="70"/>
    </row>
    <row r="632" ht="15.75" customHeight="1">
      <c r="C632" s="70"/>
    </row>
    <row r="633" ht="15.75" customHeight="1">
      <c r="C633" s="70"/>
    </row>
    <row r="634" ht="15.75" customHeight="1">
      <c r="C634" s="70"/>
    </row>
    <row r="635" ht="15.75" customHeight="1">
      <c r="C635" s="70"/>
    </row>
    <row r="636" ht="15.75" customHeight="1">
      <c r="C636" s="70"/>
    </row>
    <row r="637" ht="15.75" customHeight="1">
      <c r="C637" s="70"/>
    </row>
    <row r="638" ht="15.75" customHeight="1">
      <c r="C638" s="70"/>
    </row>
    <row r="639" ht="15.75" customHeight="1">
      <c r="C639" s="70"/>
    </row>
    <row r="640" ht="15.75" customHeight="1">
      <c r="C640" s="70"/>
    </row>
    <row r="641" ht="15.75" customHeight="1">
      <c r="C641" s="70"/>
    </row>
    <row r="642" ht="15.75" customHeight="1">
      <c r="C642" s="70"/>
    </row>
    <row r="643" ht="15.75" customHeight="1">
      <c r="C643" s="70"/>
    </row>
    <row r="644" ht="15.75" customHeight="1">
      <c r="C644" s="70"/>
    </row>
    <row r="645" ht="15.75" customHeight="1">
      <c r="C645" s="70"/>
    </row>
    <row r="646" ht="15.75" customHeight="1">
      <c r="C646" s="70"/>
    </row>
    <row r="647" ht="15.75" customHeight="1">
      <c r="C647" s="70"/>
    </row>
    <row r="648" ht="15.75" customHeight="1">
      <c r="C648" s="70"/>
    </row>
    <row r="649" ht="15.75" customHeight="1">
      <c r="C649" s="70"/>
    </row>
    <row r="650" ht="15.75" customHeight="1">
      <c r="C650" s="70"/>
    </row>
    <row r="651" ht="15.75" customHeight="1">
      <c r="C651" s="70"/>
    </row>
    <row r="652" ht="15.75" customHeight="1">
      <c r="C652" s="70"/>
    </row>
    <row r="653" ht="15.75" customHeight="1">
      <c r="C653" s="70"/>
    </row>
    <row r="654" ht="15.75" customHeight="1">
      <c r="C654" s="70"/>
    </row>
    <row r="655" ht="15.75" customHeight="1">
      <c r="C655" s="70"/>
    </row>
    <row r="656" ht="15.75" customHeight="1">
      <c r="C656" s="70"/>
    </row>
    <row r="657" ht="15.75" customHeight="1">
      <c r="C657" s="70"/>
    </row>
    <row r="658" ht="15.75" customHeight="1">
      <c r="C658" s="70"/>
    </row>
    <row r="659" ht="15.75" customHeight="1">
      <c r="C659" s="70"/>
    </row>
    <row r="660" ht="15.75" customHeight="1">
      <c r="C660" s="70"/>
    </row>
    <row r="661" ht="15.75" customHeight="1">
      <c r="C661" s="70"/>
    </row>
    <row r="662" ht="15.75" customHeight="1">
      <c r="C662" s="70"/>
    </row>
    <row r="663" ht="15.75" customHeight="1">
      <c r="C663" s="70"/>
    </row>
    <row r="664" ht="15.75" customHeight="1">
      <c r="C664" s="70"/>
    </row>
    <row r="665" ht="15.75" customHeight="1">
      <c r="C665" s="70"/>
    </row>
    <row r="666" ht="15.75" customHeight="1">
      <c r="C666" s="70"/>
    </row>
    <row r="667" ht="15.75" customHeight="1">
      <c r="C667" s="70"/>
    </row>
    <row r="668" ht="15.75" customHeight="1">
      <c r="C668" s="70"/>
    </row>
    <row r="669" ht="15.75" customHeight="1">
      <c r="C669" s="70"/>
    </row>
    <row r="670" ht="15.75" customHeight="1">
      <c r="C670" s="70"/>
    </row>
    <row r="671" ht="15.75" customHeight="1">
      <c r="C671" s="70"/>
    </row>
    <row r="672" ht="15.75" customHeight="1">
      <c r="C672" s="70"/>
    </row>
    <row r="673" ht="15.75" customHeight="1">
      <c r="C673" s="70"/>
    </row>
    <row r="674" ht="15.75" customHeight="1">
      <c r="C674" s="70"/>
    </row>
    <row r="675" ht="15.75" customHeight="1">
      <c r="C675" s="70"/>
    </row>
    <row r="676" ht="15.75" customHeight="1">
      <c r="C676" s="70"/>
    </row>
    <row r="677" ht="15.75" customHeight="1">
      <c r="C677" s="70"/>
    </row>
    <row r="678" ht="15.75" customHeight="1">
      <c r="C678" s="70"/>
    </row>
    <row r="679" ht="15.75" customHeight="1">
      <c r="C679" s="70"/>
    </row>
    <row r="680" ht="15.75" customHeight="1">
      <c r="C680" s="70"/>
    </row>
    <row r="681" ht="15.75" customHeight="1">
      <c r="C681" s="70"/>
    </row>
    <row r="682" ht="15.75" customHeight="1">
      <c r="C682" s="70"/>
    </row>
    <row r="683" ht="15.75" customHeight="1">
      <c r="C683" s="70"/>
    </row>
    <row r="684" ht="15.75" customHeight="1">
      <c r="C684" s="70"/>
    </row>
    <row r="685" ht="15.75" customHeight="1">
      <c r="C685" s="70"/>
    </row>
    <row r="686" ht="15.75" customHeight="1">
      <c r="C686" s="70"/>
    </row>
    <row r="687" ht="15.75" customHeight="1">
      <c r="C687" s="70"/>
    </row>
    <row r="688" ht="15.75" customHeight="1">
      <c r="C688" s="70"/>
    </row>
    <row r="689" ht="15.75" customHeight="1">
      <c r="C689" s="70"/>
    </row>
    <row r="690" ht="15.75" customHeight="1">
      <c r="C690" s="70"/>
    </row>
    <row r="691" ht="15.75" customHeight="1">
      <c r="C691" s="70"/>
    </row>
    <row r="692" ht="15.75" customHeight="1">
      <c r="C692" s="70"/>
    </row>
    <row r="693" ht="15.75" customHeight="1">
      <c r="C693" s="70"/>
    </row>
    <row r="694" ht="15.75" customHeight="1">
      <c r="C694" s="70"/>
    </row>
    <row r="695" ht="15.75" customHeight="1">
      <c r="C695" s="70"/>
    </row>
    <row r="696" ht="15.75" customHeight="1">
      <c r="C696" s="70"/>
    </row>
    <row r="697" ht="15.75" customHeight="1">
      <c r="C697" s="70"/>
    </row>
    <row r="698" ht="15.75" customHeight="1">
      <c r="C698" s="70"/>
    </row>
    <row r="699" ht="15.75" customHeight="1">
      <c r="C699" s="70"/>
    </row>
    <row r="700" ht="15.75" customHeight="1">
      <c r="C700" s="70"/>
    </row>
    <row r="701" ht="15.75" customHeight="1">
      <c r="C701" s="70"/>
    </row>
    <row r="702" ht="15.75" customHeight="1">
      <c r="C702" s="70"/>
    </row>
    <row r="703" ht="15.75" customHeight="1">
      <c r="C703" s="70"/>
    </row>
    <row r="704" ht="15.75" customHeight="1">
      <c r="C704" s="70"/>
    </row>
    <row r="705" ht="15.75" customHeight="1">
      <c r="C705" s="70"/>
    </row>
    <row r="706" ht="15.75" customHeight="1">
      <c r="C706" s="70"/>
    </row>
    <row r="707" ht="15.75" customHeight="1">
      <c r="C707" s="70"/>
    </row>
    <row r="708" ht="15.75" customHeight="1">
      <c r="C708" s="70"/>
    </row>
    <row r="709" ht="15.75" customHeight="1">
      <c r="C709" s="70"/>
    </row>
    <row r="710" ht="15.75" customHeight="1">
      <c r="C710" s="70"/>
    </row>
    <row r="711" ht="15.75" customHeight="1">
      <c r="C711" s="70"/>
    </row>
    <row r="712" ht="15.75" customHeight="1">
      <c r="C712" s="70"/>
    </row>
    <row r="713" ht="15.75" customHeight="1">
      <c r="C713" s="70"/>
    </row>
    <row r="714" ht="15.75" customHeight="1">
      <c r="C714" s="70"/>
    </row>
    <row r="715" ht="15.75" customHeight="1">
      <c r="C715" s="70"/>
    </row>
    <row r="716" ht="15.75" customHeight="1">
      <c r="C716" s="70"/>
    </row>
    <row r="717" ht="15.75" customHeight="1">
      <c r="C717" s="70"/>
    </row>
    <row r="718" ht="15.75" customHeight="1">
      <c r="C718" s="70"/>
    </row>
    <row r="719" ht="15.75" customHeight="1">
      <c r="C719" s="70"/>
    </row>
    <row r="720" ht="15.75" customHeight="1">
      <c r="C720" s="70"/>
    </row>
    <row r="721" ht="15.75" customHeight="1">
      <c r="C721" s="70"/>
    </row>
    <row r="722" ht="15.75" customHeight="1">
      <c r="C722" s="70"/>
    </row>
    <row r="723" ht="15.75" customHeight="1">
      <c r="C723" s="70"/>
    </row>
    <row r="724" ht="15.75" customHeight="1">
      <c r="C724" s="70"/>
    </row>
    <row r="725" ht="15.75" customHeight="1">
      <c r="C725" s="70"/>
    </row>
    <row r="726" ht="15.75" customHeight="1">
      <c r="C726" s="70"/>
    </row>
    <row r="727" ht="15.75" customHeight="1">
      <c r="C727" s="70"/>
    </row>
    <row r="728" ht="15.75" customHeight="1">
      <c r="C728" s="70"/>
    </row>
    <row r="729" ht="15.75" customHeight="1">
      <c r="C729" s="70"/>
    </row>
    <row r="730" ht="15.75" customHeight="1">
      <c r="C730" s="70"/>
    </row>
    <row r="731" ht="15.75" customHeight="1">
      <c r="C731" s="70"/>
    </row>
    <row r="732" ht="15.75" customHeight="1">
      <c r="C732" s="70"/>
    </row>
    <row r="733" ht="15.75" customHeight="1">
      <c r="C733" s="70"/>
    </row>
    <row r="734" ht="15.75" customHeight="1">
      <c r="C734" s="70"/>
    </row>
    <row r="735" ht="15.75" customHeight="1">
      <c r="C735" s="70"/>
    </row>
    <row r="736" ht="15.75" customHeight="1">
      <c r="C736" s="70"/>
    </row>
    <row r="737" ht="15.75" customHeight="1">
      <c r="C737" s="70"/>
    </row>
    <row r="738" ht="15.75" customHeight="1">
      <c r="C738" s="70"/>
    </row>
    <row r="739" ht="15.75" customHeight="1">
      <c r="C739" s="70"/>
    </row>
    <row r="740" ht="15.75" customHeight="1">
      <c r="C740" s="70"/>
    </row>
    <row r="741" ht="15.75" customHeight="1">
      <c r="C741" s="70"/>
    </row>
    <row r="742" ht="15.75" customHeight="1">
      <c r="C742" s="70"/>
    </row>
    <row r="743" ht="15.75" customHeight="1">
      <c r="C743" s="70"/>
    </row>
    <row r="744" ht="15.75" customHeight="1">
      <c r="C744" s="70"/>
    </row>
    <row r="745" ht="15.75" customHeight="1">
      <c r="C745" s="70"/>
    </row>
    <row r="746" ht="15.75" customHeight="1">
      <c r="C746" s="70"/>
    </row>
    <row r="747" ht="15.75" customHeight="1">
      <c r="C747" s="70"/>
    </row>
    <row r="748" ht="15.75" customHeight="1">
      <c r="C748" s="70"/>
    </row>
    <row r="749" ht="15.75" customHeight="1">
      <c r="C749" s="70"/>
    </row>
    <row r="750" ht="15.75" customHeight="1">
      <c r="C750" s="70"/>
    </row>
    <row r="751" ht="15.75" customHeight="1">
      <c r="C751" s="70"/>
    </row>
    <row r="752" ht="15.75" customHeight="1">
      <c r="C752" s="70"/>
    </row>
    <row r="753" ht="15.75" customHeight="1">
      <c r="C753" s="70"/>
    </row>
    <row r="754" ht="15.75" customHeight="1">
      <c r="C754" s="70"/>
    </row>
    <row r="755" ht="15.75" customHeight="1">
      <c r="C755" s="70"/>
    </row>
    <row r="756" ht="15.75" customHeight="1">
      <c r="C756" s="70"/>
    </row>
    <row r="757" ht="15.75" customHeight="1">
      <c r="C757" s="70"/>
    </row>
    <row r="758" ht="15.75" customHeight="1">
      <c r="C758" s="70"/>
    </row>
    <row r="759" ht="15.75" customHeight="1">
      <c r="C759" s="70"/>
    </row>
    <row r="760" ht="15.75" customHeight="1">
      <c r="C760" s="70"/>
    </row>
    <row r="761" ht="15.75" customHeight="1">
      <c r="C761" s="70"/>
    </row>
    <row r="762" ht="15.75" customHeight="1">
      <c r="C762" s="70"/>
    </row>
    <row r="763" ht="15.75" customHeight="1">
      <c r="C763" s="70"/>
    </row>
    <row r="764" ht="15.75" customHeight="1">
      <c r="C764" s="70"/>
    </row>
    <row r="765" ht="15.75" customHeight="1">
      <c r="C765" s="70"/>
    </row>
    <row r="766" ht="15.75" customHeight="1">
      <c r="C766" s="70"/>
    </row>
    <row r="767" ht="15.75" customHeight="1">
      <c r="C767" s="70"/>
    </row>
    <row r="768" ht="15.75" customHeight="1">
      <c r="C768" s="70"/>
    </row>
    <row r="769" ht="15.75" customHeight="1">
      <c r="C769" s="70"/>
    </row>
    <row r="770" ht="15.75" customHeight="1">
      <c r="C770" s="70"/>
    </row>
    <row r="771" ht="15.75" customHeight="1">
      <c r="C771" s="70"/>
    </row>
    <row r="772" ht="15.75" customHeight="1">
      <c r="C772" s="70"/>
    </row>
    <row r="773" ht="15.75" customHeight="1">
      <c r="C773" s="70"/>
    </row>
    <row r="774" ht="15.75" customHeight="1">
      <c r="C774" s="70"/>
    </row>
    <row r="775" ht="15.75" customHeight="1">
      <c r="C775" s="70"/>
    </row>
    <row r="776" ht="15.75" customHeight="1">
      <c r="C776" s="70"/>
    </row>
    <row r="777" ht="15.75" customHeight="1">
      <c r="C777" s="70"/>
    </row>
    <row r="778" ht="15.75" customHeight="1">
      <c r="C778" s="70"/>
    </row>
    <row r="779" ht="15.75" customHeight="1">
      <c r="C779" s="70"/>
    </row>
    <row r="780" ht="15.75" customHeight="1">
      <c r="C780" s="70"/>
    </row>
    <row r="781" ht="15.75" customHeight="1">
      <c r="C781" s="70"/>
    </row>
    <row r="782" ht="15.75" customHeight="1">
      <c r="C782" s="70"/>
    </row>
    <row r="783" ht="15.75" customHeight="1">
      <c r="C783" s="70"/>
    </row>
    <row r="784" ht="15.75" customHeight="1">
      <c r="C784" s="70"/>
    </row>
    <row r="785" ht="15.75" customHeight="1">
      <c r="C785" s="70"/>
    </row>
    <row r="786" ht="15.75" customHeight="1">
      <c r="C786" s="70"/>
    </row>
    <row r="787" ht="15.75" customHeight="1">
      <c r="C787" s="70"/>
    </row>
    <row r="788" ht="15.75" customHeight="1">
      <c r="C788" s="70"/>
    </row>
    <row r="789" ht="15.75" customHeight="1">
      <c r="C789" s="70"/>
    </row>
    <row r="790" ht="15.75" customHeight="1">
      <c r="C790" s="70"/>
    </row>
    <row r="791" ht="15.75" customHeight="1">
      <c r="C791" s="70"/>
    </row>
    <row r="792" ht="15.75" customHeight="1">
      <c r="C792" s="70"/>
    </row>
    <row r="793" ht="15.75" customHeight="1">
      <c r="C793" s="70"/>
    </row>
    <row r="794" ht="15.75" customHeight="1">
      <c r="C794" s="70"/>
    </row>
    <row r="795" ht="15.75" customHeight="1">
      <c r="C795" s="70"/>
    </row>
    <row r="796" ht="15.75" customHeight="1">
      <c r="C796" s="70"/>
    </row>
    <row r="797" ht="15.75" customHeight="1">
      <c r="C797" s="70"/>
    </row>
    <row r="798" ht="15.75" customHeight="1">
      <c r="C798" s="70"/>
    </row>
    <row r="799" ht="15.75" customHeight="1">
      <c r="C799" s="70"/>
    </row>
    <row r="800" ht="15.75" customHeight="1">
      <c r="C800" s="70"/>
    </row>
    <row r="801" ht="15.75" customHeight="1">
      <c r="C801" s="70"/>
    </row>
    <row r="802" ht="15.75" customHeight="1">
      <c r="C802" s="70"/>
    </row>
    <row r="803" ht="15.75" customHeight="1">
      <c r="C803" s="70"/>
    </row>
    <row r="804" ht="15.75" customHeight="1">
      <c r="C804" s="70"/>
    </row>
    <row r="805" ht="15.75" customHeight="1">
      <c r="C805" s="70"/>
    </row>
    <row r="806" ht="15.75" customHeight="1">
      <c r="C806" s="70"/>
    </row>
    <row r="807" ht="15.75" customHeight="1">
      <c r="C807" s="70"/>
    </row>
    <row r="808" ht="15.75" customHeight="1">
      <c r="C808" s="70"/>
    </row>
    <row r="809" ht="15.75" customHeight="1">
      <c r="C809" s="70"/>
    </row>
    <row r="810" ht="15.75" customHeight="1">
      <c r="C810" s="70"/>
    </row>
    <row r="811" ht="15.75" customHeight="1">
      <c r="C811" s="70"/>
    </row>
    <row r="812" ht="15.75" customHeight="1">
      <c r="C812" s="70"/>
    </row>
    <row r="813" ht="15.75" customHeight="1">
      <c r="C813" s="70"/>
    </row>
    <row r="814" ht="15.75" customHeight="1">
      <c r="C814" s="70"/>
    </row>
    <row r="815" ht="15.75" customHeight="1">
      <c r="C815" s="70"/>
    </row>
    <row r="816" ht="15.75" customHeight="1">
      <c r="C816" s="70"/>
    </row>
    <row r="817" ht="15.75" customHeight="1">
      <c r="C817" s="70"/>
    </row>
    <row r="818" ht="15.75" customHeight="1">
      <c r="C818" s="70"/>
    </row>
    <row r="819" ht="15.75" customHeight="1">
      <c r="C819" s="70"/>
    </row>
    <row r="820" ht="15.75" customHeight="1">
      <c r="C820" s="70"/>
    </row>
    <row r="821" ht="15.75" customHeight="1">
      <c r="C821" s="70"/>
    </row>
    <row r="822" ht="15.75" customHeight="1">
      <c r="C822" s="70"/>
    </row>
    <row r="823" ht="15.75" customHeight="1">
      <c r="C823" s="70"/>
    </row>
    <row r="824" ht="15.75" customHeight="1">
      <c r="C824" s="70"/>
    </row>
    <row r="825" ht="15.75" customHeight="1">
      <c r="C825" s="70"/>
    </row>
    <row r="826" ht="15.75" customHeight="1">
      <c r="C826" s="70"/>
    </row>
    <row r="827" ht="15.75" customHeight="1">
      <c r="C827" s="70"/>
    </row>
    <row r="828" ht="15.75" customHeight="1">
      <c r="C828" s="70"/>
    </row>
    <row r="829" ht="15.75" customHeight="1">
      <c r="C829" s="70"/>
    </row>
    <row r="830" ht="15.75" customHeight="1">
      <c r="C830" s="70"/>
    </row>
    <row r="831" ht="15.75" customHeight="1">
      <c r="C831" s="70"/>
    </row>
    <row r="832" ht="15.75" customHeight="1">
      <c r="C832" s="70"/>
    </row>
    <row r="833" ht="15.75" customHeight="1">
      <c r="C833" s="70"/>
    </row>
    <row r="834" ht="15.75" customHeight="1">
      <c r="C834" s="70"/>
    </row>
    <row r="835" ht="15.75" customHeight="1">
      <c r="C835" s="70"/>
    </row>
    <row r="836" ht="15.75" customHeight="1">
      <c r="C836" s="70"/>
    </row>
    <row r="837" ht="15.75" customHeight="1">
      <c r="C837" s="70"/>
    </row>
    <row r="838" ht="15.75" customHeight="1">
      <c r="C838" s="70"/>
    </row>
    <row r="839" ht="15.75" customHeight="1">
      <c r="C839" s="70"/>
    </row>
    <row r="840" ht="15.75" customHeight="1">
      <c r="C840" s="70"/>
    </row>
    <row r="841" ht="15.75" customHeight="1">
      <c r="C841" s="70"/>
    </row>
    <row r="842" ht="15.75" customHeight="1">
      <c r="C842" s="70"/>
    </row>
    <row r="843" ht="15.75" customHeight="1">
      <c r="C843" s="70"/>
    </row>
    <row r="844" ht="15.75" customHeight="1">
      <c r="C844" s="70"/>
    </row>
    <row r="845" ht="15.75" customHeight="1">
      <c r="C845" s="70"/>
    </row>
    <row r="846" ht="15.75" customHeight="1">
      <c r="C846" s="70"/>
    </row>
    <row r="847" ht="15.75" customHeight="1">
      <c r="C847" s="70"/>
    </row>
    <row r="848" ht="15.75" customHeight="1">
      <c r="C848" s="70"/>
    </row>
    <row r="849" ht="15.75" customHeight="1">
      <c r="C849" s="70"/>
    </row>
    <row r="850" ht="15.75" customHeight="1">
      <c r="C850" s="70"/>
    </row>
    <row r="851" ht="15.75" customHeight="1">
      <c r="C851" s="70"/>
    </row>
    <row r="852" ht="15.75" customHeight="1">
      <c r="C852" s="70"/>
    </row>
    <row r="853" ht="15.75" customHeight="1">
      <c r="C853" s="70"/>
    </row>
    <row r="854" ht="15.75" customHeight="1">
      <c r="C854" s="70"/>
    </row>
    <row r="855" ht="15.75" customHeight="1">
      <c r="C855" s="70"/>
    </row>
    <row r="856" ht="15.75" customHeight="1">
      <c r="C856" s="70"/>
    </row>
    <row r="857" ht="15.75" customHeight="1">
      <c r="C857" s="70"/>
    </row>
    <row r="858" ht="15.75" customHeight="1">
      <c r="C858" s="70"/>
    </row>
    <row r="859" ht="15.75" customHeight="1">
      <c r="C859" s="70"/>
    </row>
    <row r="860" ht="15.75" customHeight="1">
      <c r="C860" s="70"/>
    </row>
    <row r="861" ht="15.75" customHeight="1">
      <c r="C861" s="70"/>
    </row>
    <row r="862" ht="15.75" customHeight="1">
      <c r="C862" s="70"/>
    </row>
    <row r="863" ht="15.75" customHeight="1">
      <c r="C863" s="70"/>
    </row>
    <row r="864" ht="15.75" customHeight="1">
      <c r="C864" s="70"/>
    </row>
    <row r="865" ht="15.75" customHeight="1">
      <c r="C865" s="70"/>
    </row>
    <row r="866" ht="15.75" customHeight="1">
      <c r="C866" s="70"/>
    </row>
    <row r="867" ht="15.75" customHeight="1">
      <c r="C867" s="70"/>
    </row>
    <row r="868" ht="15.75" customHeight="1">
      <c r="C868" s="70"/>
    </row>
    <row r="869" ht="15.75" customHeight="1">
      <c r="C869" s="70"/>
    </row>
    <row r="870" ht="15.75" customHeight="1">
      <c r="C870" s="70"/>
    </row>
    <row r="871" ht="15.75" customHeight="1">
      <c r="C871" s="70"/>
    </row>
    <row r="872" ht="15.75" customHeight="1">
      <c r="C872" s="70"/>
    </row>
    <row r="873" ht="15.75" customHeight="1">
      <c r="C873" s="70"/>
    </row>
    <row r="874" ht="15.75" customHeight="1">
      <c r="C874" s="70"/>
    </row>
    <row r="875" ht="15.75" customHeight="1">
      <c r="C875" s="70"/>
    </row>
    <row r="876" ht="15.75" customHeight="1">
      <c r="C876" s="70"/>
    </row>
    <row r="877" ht="15.75" customHeight="1">
      <c r="C877" s="70"/>
    </row>
    <row r="878" ht="15.75" customHeight="1">
      <c r="C878" s="70"/>
    </row>
    <row r="879" ht="15.75" customHeight="1">
      <c r="C879" s="70"/>
    </row>
    <row r="880" ht="15.75" customHeight="1">
      <c r="C880" s="70"/>
    </row>
    <row r="881" ht="15.75" customHeight="1">
      <c r="C881" s="70"/>
    </row>
    <row r="882" ht="15.75" customHeight="1">
      <c r="C882" s="70"/>
    </row>
    <row r="883" ht="15.75" customHeight="1">
      <c r="C883" s="70"/>
    </row>
    <row r="884" ht="15.75" customHeight="1">
      <c r="C884" s="70"/>
    </row>
    <row r="885" ht="15.75" customHeight="1">
      <c r="C885" s="70"/>
    </row>
    <row r="886" ht="15.75" customHeight="1">
      <c r="C886" s="70"/>
    </row>
    <row r="887" ht="15.75" customHeight="1">
      <c r="C887" s="70"/>
    </row>
    <row r="888" ht="15.75" customHeight="1">
      <c r="C888" s="70"/>
    </row>
    <row r="889" ht="15.75" customHeight="1">
      <c r="C889" s="70"/>
    </row>
    <row r="890" ht="15.75" customHeight="1">
      <c r="C890" s="70"/>
    </row>
    <row r="891" ht="15.75" customHeight="1">
      <c r="C891" s="70"/>
    </row>
    <row r="892" ht="15.75" customHeight="1">
      <c r="C892" s="70"/>
    </row>
    <row r="893" ht="15.75" customHeight="1">
      <c r="C893" s="70"/>
    </row>
    <row r="894" ht="15.75" customHeight="1">
      <c r="C894" s="70"/>
    </row>
    <row r="895" ht="15.75" customHeight="1">
      <c r="C895" s="70"/>
    </row>
    <row r="896" ht="15.75" customHeight="1">
      <c r="C896" s="70"/>
    </row>
    <row r="897" ht="15.75" customHeight="1">
      <c r="C897" s="70"/>
    </row>
    <row r="898" ht="15.75" customHeight="1">
      <c r="C898" s="70"/>
    </row>
    <row r="899" ht="15.75" customHeight="1">
      <c r="C899" s="70"/>
    </row>
    <row r="900" ht="15.75" customHeight="1">
      <c r="C900" s="70"/>
    </row>
    <row r="901" ht="15.75" customHeight="1">
      <c r="C901" s="70"/>
    </row>
    <row r="902" ht="15.75" customHeight="1">
      <c r="C902" s="70"/>
    </row>
    <row r="903" ht="15.75" customHeight="1">
      <c r="C903" s="70"/>
    </row>
    <row r="904" ht="15.75" customHeight="1">
      <c r="C904" s="70"/>
    </row>
    <row r="905" ht="15.75" customHeight="1">
      <c r="C905" s="70"/>
    </row>
    <row r="906" ht="15.75" customHeight="1">
      <c r="C906" s="70"/>
    </row>
    <row r="907" ht="15.75" customHeight="1">
      <c r="C907" s="70"/>
    </row>
    <row r="908" ht="15.75" customHeight="1">
      <c r="C908" s="70"/>
    </row>
    <row r="909" ht="15.75" customHeight="1">
      <c r="C909" s="70"/>
    </row>
    <row r="910" ht="15.75" customHeight="1">
      <c r="C910" s="70"/>
    </row>
    <row r="911" ht="15.75" customHeight="1">
      <c r="C911" s="70"/>
    </row>
    <row r="912" ht="15.75" customHeight="1">
      <c r="C912" s="70"/>
    </row>
    <row r="913" ht="15.75" customHeight="1">
      <c r="C913" s="70"/>
    </row>
    <row r="914" ht="15.75" customHeight="1">
      <c r="C914" s="70"/>
    </row>
    <row r="915" ht="15.75" customHeight="1">
      <c r="C915" s="70"/>
    </row>
    <row r="916" ht="15.75" customHeight="1">
      <c r="C916" s="70"/>
    </row>
    <row r="917" ht="15.75" customHeight="1">
      <c r="C917" s="70"/>
    </row>
    <row r="918" ht="15.75" customHeight="1">
      <c r="C918" s="70"/>
    </row>
    <row r="919" ht="15.75" customHeight="1">
      <c r="C919" s="70"/>
    </row>
    <row r="920" ht="15.75" customHeight="1">
      <c r="C920" s="70"/>
    </row>
    <row r="921" ht="15.75" customHeight="1">
      <c r="C921" s="70"/>
    </row>
    <row r="922" ht="15.75" customHeight="1">
      <c r="C922" s="70"/>
    </row>
    <row r="923" ht="15.75" customHeight="1">
      <c r="C923" s="70"/>
    </row>
    <row r="924" ht="15.75" customHeight="1">
      <c r="C924" s="70"/>
    </row>
    <row r="925" ht="15.75" customHeight="1">
      <c r="C925" s="70"/>
    </row>
    <row r="926" ht="15.75" customHeight="1">
      <c r="C926" s="70"/>
    </row>
    <row r="927" ht="15.75" customHeight="1">
      <c r="C927" s="70"/>
    </row>
    <row r="928" ht="15.75" customHeight="1">
      <c r="C928" s="70"/>
    </row>
    <row r="929" ht="15.75" customHeight="1">
      <c r="C929" s="70"/>
    </row>
    <row r="930" ht="15.75" customHeight="1">
      <c r="C930" s="70"/>
    </row>
    <row r="931" ht="15.75" customHeight="1">
      <c r="C931" s="70"/>
    </row>
    <row r="932" ht="15.75" customHeight="1">
      <c r="C932" s="70"/>
    </row>
    <row r="933" ht="15.75" customHeight="1">
      <c r="C933" s="70"/>
    </row>
    <row r="934" ht="15.75" customHeight="1">
      <c r="C934" s="70"/>
    </row>
    <row r="935" ht="15.75" customHeight="1">
      <c r="C935" s="70"/>
    </row>
    <row r="936" ht="15.75" customHeight="1">
      <c r="C936" s="70"/>
    </row>
    <row r="937" ht="15.75" customHeight="1">
      <c r="C937" s="70"/>
    </row>
    <row r="938" ht="15.75" customHeight="1">
      <c r="C938" s="70"/>
    </row>
    <row r="939" ht="15.75" customHeight="1">
      <c r="C939" s="70"/>
    </row>
    <row r="940" ht="15.75" customHeight="1">
      <c r="C940" s="70"/>
    </row>
    <row r="941" ht="15.75" customHeight="1">
      <c r="C941" s="70"/>
    </row>
    <row r="942" ht="15.75" customHeight="1">
      <c r="C942" s="70"/>
    </row>
    <row r="943" ht="15.75" customHeight="1">
      <c r="C943" s="70"/>
    </row>
    <row r="944" ht="15.75" customHeight="1">
      <c r="C944" s="70"/>
    </row>
    <row r="945" ht="15.75" customHeight="1">
      <c r="C945" s="70"/>
    </row>
    <row r="946" ht="15.75" customHeight="1">
      <c r="C946" s="70"/>
    </row>
    <row r="947" ht="15.75" customHeight="1">
      <c r="C947" s="70"/>
    </row>
    <row r="948" ht="15.75" customHeight="1">
      <c r="C948" s="70"/>
    </row>
    <row r="949" ht="15.75" customHeight="1">
      <c r="C949" s="70"/>
    </row>
    <row r="950" ht="15.75" customHeight="1">
      <c r="C950" s="70"/>
    </row>
    <row r="951" ht="15.75" customHeight="1">
      <c r="C951" s="70"/>
    </row>
    <row r="952" ht="15.75" customHeight="1">
      <c r="C952" s="70"/>
    </row>
    <row r="953" ht="15.75" customHeight="1">
      <c r="C953" s="70"/>
    </row>
    <row r="954" ht="15.75" customHeight="1">
      <c r="C954" s="70"/>
    </row>
    <row r="955" ht="15.75" customHeight="1">
      <c r="C955" s="70"/>
    </row>
    <row r="956" ht="15.75" customHeight="1">
      <c r="C956" s="70"/>
    </row>
    <row r="957" ht="15.75" customHeight="1">
      <c r="C957" s="70"/>
    </row>
    <row r="958" ht="15.75" customHeight="1">
      <c r="C958" s="70"/>
    </row>
    <row r="959" ht="15.75" customHeight="1">
      <c r="C959" s="70"/>
    </row>
    <row r="960" ht="15.75" customHeight="1">
      <c r="C960" s="70"/>
    </row>
    <row r="961" ht="15.75" customHeight="1">
      <c r="C961" s="70"/>
    </row>
    <row r="962" ht="15.75" customHeight="1">
      <c r="C962" s="70"/>
    </row>
    <row r="963" ht="15.75" customHeight="1">
      <c r="C963" s="70"/>
    </row>
    <row r="964" ht="15.75" customHeight="1">
      <c r="C964" s="70"/>
    </row>
    <row r="965" ht="15.75" customHeight="1">
      <c r="C965" s="70"/>
    </row>
    <row r="966" ht="15.75" customHeight="1">
      <c r="C966" s="70"/>
    </row>
    <row r="967" ht="15.75" customHeight="1">
      <c r="C967" s="70"/>
    </row>
    <row r="968" ht="15.75" customHeight="1">
      <c r="C968" s="70"/>
    </row>
    <row r="969" ht="15.75" customHeight="1">
      <c r="C969" s="70"/>
    </row>
    <row r="970" ht="15.75" customHeight="1">
      <c r="C970" s="70"/>
    </row>
    <row r="971" ht="15.75" customHeight="1">
      <c r="C971" s="70"/>
    </row>
    <row r="972" ht="15.75" customHeight="1">
      <c r="C972" s="70"/>
    </row>
    <row r="973" ht="15.75" customHeight="1">
      <c r="C973" s="70"/>
    </row>
    <row r="974" ht="15.75" customHeight="1">
      <c r="C974" s="70"/>
    </row>
    <row r="975" ht="15.75" customHeight="1">
      <c r="C975" s="70"/>
    </row>
    <row r="976" ht="15.75" customHeight="1">
      <c r="C976" s="70"/>
    </row>
    <row r="977" ht="15.75" customHeight="1">
      <c r="C977" s="70"/>
    </row>
    <row r="978" ht="15.75" customHeight="1">
      <c r="C978" s="70"/>
    </row>
    <row r="979" ht="15.75" customHeight="1">
      <c r="C979" s="70"/>
    </row>
    <row r="980" ht="15.75" customHeight="1">
      <c r="C980" s="70"/>
    </row>
    <row r="981" ht="15.75" customHeight="1">
      <c r="C981" s="70"/>
    </row>
    <row r="982" ht="15.75" customHeight="1">
      <c r="C982" s="70"/>
    </row>
    <row r="983" ht="15.75" customHeight="1">
      <c r="C983" s="70"/>
    </row>
    <row r="984" ht="15.75" customHeight="1">
      <c r="C984" s="70"/>
    </row>
    <row r="985" ht="15.75" customHeight="1">
      <c r="C985" s="70"/>
    </row>
    <row r="986" ht="15.75" customHeight="1">
      <c r="C986" s="70"/>
    </row>
    <row r="987" ht="15.75" customHeight="1">
      <c r="C987" s="70"/>
    </row>
    <row r="988" ht="15.75" customHeight="1">
      <c r="C988" s="70"/>
    </row>
    <row r="989" ht="15.75" customHeight="1">
      <c r="C989" s="70"/>
    </row>
    <row r="990" ht="15.75" customHeight="1">
      <c r="C990" s="70"/>
    </row>
    <row r="991" ht="15.75" customHeight="1">
      <c r="C991" s="70"/>
    </row>
    <row r="992" ht="15.75" customHeight="1">
      <c r="C992" s="70"/>
    </row>
    <row r="993" ht="15.75" customHeight="1">
      <c r="C993" s="70"/>
    </row>
    <row r="994" ht="15.75" customHeight="1">
      <c r="C994" s="70"/>
    </row>
    <row r="995" ht="15.75" customHeight="1">
      <c r="C995" s="70"/>
    </row>
    <row r="996" ht="15.75" customHeight="1">
      <c r="C996" s="70"/>
    </row>
    <row r="997" ht="15.75" customHeight="1">
      <c r="C997" s="70"/>
    </row>
    <row r="998" ht="15.75" customHeight="1">
      <c r="C998" s="70"/>
    </row>
    <row r="999" ht="15.75" customHeight="1">
      <c r="C999" s="70"/>
    </row>
    <row r="1000" ht="15.75" customHeight="1">
      <c r="C1000" s="7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6.78"/>
    <col customWidth="1" min="2" max="2" width="57.0"/>
    <col customWidth="1" min="3" max="3" width="10.11"/>
    <col customWidth="1" min="4" max="26" width="6.78"/>
  </cols>
  <sheetData>
    <row r="1" ht="15.75" customHeight="1">
      <c r="A1" s="68" t="s">
        <v>188</v>
      </c>
      <c r="B1" s="68" t="s">
        <v>181</v>
      </c>
      <c r="C1" s="69" t="s">
        <v>182</v>
      </c>
    </row>
    <row r="2" ht="15.75" customHeight="1">
      <c r="C2" s="70"/>
    </row>
    <row r="3" ht="15.75" customHeight="1">
      <c r="C3" s="70"/>
    </row>
    <row r="4" ht="15.75" customHeight="1">
      <c r="C4" s="70"/>
    </row>
    <row r="5" ht="15.75" customHeight="1">
      <c r="C5" s="70"/>
    </row>
    <row r="6" ht="15.75" customHeight="1">
      <c r="C6" s="70"/>
    </row>
    <row r="7" ht="15.75" customHeight="1">
      <c r="C7" s="70"/>
    </row>
    <row r="8" ht="15.75" customHeight="1">
      <c r="C8" s="70"/>
    </row>
    <row r="9" ht="15.75" customHeight="1">
      <c r="C9" s="70"/>
    </row>
    <row r="10" ht="15.75" customHeight="1">
      <c r="C10" s="70"/>
    </row>
    <row r="11" ht="15.75" customHeight="1">
      <c r="C11" s="70"/>
    </row>
    <row r="12" ht="15.75" customHeight="1">
      <c r="C12" s="70"/>
    </row>
    <row r="13" ht="15.75" customHeight="1">
      <c r="C13" s="70"/>
    </row>
    <row r="14" ht="15.75" customHeight="1">
      <c r="C14" s="70"/>
    </row>
    <row r="15" ht="15.75" customHeight="1">
      <c r="A15" s="71" t="s">
        <v>183</v>
      </c>
      <c r="B15" s="68" t="s">
        <v>110</v>
      </c>
      <c r="C15" s="72">
        <f>SUM(C2:C14)</f>
        <v>0</v>
      </c>
    </row>
    <row r="16" ht="15.75" customHeight="1">
      <c r="C16" s="70"/>
    </row>
    <row r="17" ht="15.75" customHeight="1">
      <c r="C17" s="70"/>
    </row>
    <row r="18" ht="15.75" customHeight="1">
      <c r="C18" s="70"/>
    </row>
    <row r="19" ht="15.75" customHeight="1">
      <c r="C19" s="70"/>
    </row>
    <row r="20" ht="15.75" customHeight="1">
      <c r="C20" s="70"/>
    </row>
    <row r="21" ht="15.75" customHeight="1">
      <c r="C21" s="70"/>
    </row>
    <row r="22" ht="15.75" customHeight="1">
      <c r="C22" s="70"/>
    </row>
    <row r="23" ht="15.75" customHeight="1">
      <c r="C23" s="70"/>
    </row>
    <row r="24" ht="15.75" customHeight="1">
      <c r="C24" s="70"/>
    </row>
    <row r="25" ht="15.75" customHeight="1">
      <c r="C25" s="70"/>
    </row>
    <row r="26" ht="15.75" customHeight="1">
      <c r="C26" s="70"/>
    </row>
    <row r="27" ht="15.75" customHeight="1">
      <c r="C27" s="70"/>
    </row>
    <row r="28" ht="15.75" customHeight="1">
      <c r="C28" s="70"/>
    </row>
    <row r="29" ht="15.75" customHeight="1">
      <c r="A29" s="71" t="s">
        <v>184</v>
      </c>
      <c r="B29" s="68" t="s">
        <v>110</v>
      </c>
      <c r="C29" s="72">
        <f>SUM(C16:C28)</f>
        <v>0</v>
      </c>
    </row>
    <row r="30" ht="15.75" customHeight="1">
      <c r="C30" s="70"/>
    </row>
    <row r="31" ht="15.75" customHeight="1">
      <c r="C31" s="70"/>
    </row>
    <row r="32" ht="15.75" customHeight="1">
      <c r="C32" s="70"/>
    </row>
    <row r="33" ht="15.75" customHeight="1">
      <c r="C33" s="70"/>
    </row>
    <row r="34" ht="15.75" customHeight="1">
      <c r="C34" s="70"/>
    </row>
    <row r="35" ht="15.75" customHeight="1">
      <c r="C35" s="70"/>
    </row>
    <row r="36" ht="15.75" customHeight="1">
      <c r="C36" s="70"/>
    </row>
    <row r="37" ht="15.75" customHeight="1">
      <c r="C37" s="70"/>
    </row>
    <row r="38" ht="15.75" customHeight="1">
      <c r="C38" s="70"/>
    </row>
    <row r="39" ht="15.75" customHeight="1">
      <c r="C39" s="70"/>
    </row>
    <row r="40" ht="15.75" customHeight="1">
      <c r="C40" s="70"/>
    </row>
    <row r="41" ht="15.75" customHeight="1">
      <c r="C41" s="70"/>
    </row>
    <row r="42" ht="15.75" customHeight="1">
      <c r="C42" s="70"/>
    </row>
    <row r="43" ht="15.75" customHeight="1">
      <c r="C43" s="70"/>
    </row>
    <row r="44" ht="15.75" customHeight="1">
      <c r="A44" s="71" t="s">
        <v>185</v>
      </c>
      <c r="B44" s="68" t="s">
        <v>110</v>
      </c>
      <c r="C44" s="72">
        <f>SUM(C30:C43)</f>
        <v>0</v>
      </c>
    </row>
    <row r="45" ht="15.75" customHeight="1">
      <c r="C45" s="70"/>
    </row>
    <row r="46" ht="15.75" customHeight="1">
      <c r="C46" s="70"/>
    </row>
    <row r="47" ht="15.75" customHeight="1">
      <c r="C47" s="70"/>
    </row>
    <row r="48" ht="15.75" customHeight="1">
      <c r="C48" s="70"/>
    </row>
    <row r="49" ht="15.75" customHeight="1">
      <c r="C49" s="70"/>
    </row>
    <row r="50" ht="15.75" customHeight="1">
      <c r="C50" s="70"/>
    </row>
    <row r="51" ht="15.75" customHeight="1">
      <c r="C51" s="70"/>
    </row>
    <row r="52" ht="15.75" customHeight="1">
      <c r="C52" s="70"/>
    </row>
    <row r="53" ht="15.75" customHeight="1">
      <c r="C53" s="70"/>
    </row>
    <row r="54" ht="15.75" customHeight="1">
      <c r="C54" s="70"/>
    </row>
    <row r="55" ht="15.75" customHeight="1">
      <c r="C55" s="70"/>
    </row>
    <row r="56" ht="15.75" customHeight="1">
      <c r="C56" s="70"/>
    </row>
    <row r="57" ht="15.75" customHeight="1">
      <c r="C57" s="70"/>
    </row>
    <row r="58" ht="15.75" customHeight="1">
      <c r="C58" s="70"/>
    </row>
    <row r="59" ht="15.75" customHeight="1">
      <c r="C59" s="70"/>
    </row>
    <row r="60" ht="15.75" customHeight="1">
      <c r="A60" s="71" t="s">
        <v>186</v>
      </c>
      <c r="B60" s="68" t="s">
        <v>110</v>
      </c>
      <c r="C60" s="72">
        <f>SUM(C45:C59)</f>
        <v>0</v>
      </c>
    </row>
    <row r="61" ht="15.75" customHeight="1">
      <c r="C61" s="70"/>
    </row>
    <row r="62" ht="15.75" customHeight="1">
      <c r="A62" s="71" t="s">
        <v>187</v>
      </c>
      <c r="B62" s="68" t="s">
        <v>146</v>
      </c>
      <c r="C62" s="72">
        <f>C15+C29+C44+C60</f>
        <v>0</v>
      </c>
    </row>
    <row r="63" ht="15.75" customHeight="1">
      <c r="C63" s="70"/>
    </row>
    <row r="64" ht="15.75" customHeight="1">
      <c r="C64" s="70"/>
    </row>
    <row r="65" ht="15.75" customHeight="1">
      <c r="C65" s="70"/>
    </row>
    <row r="66" ht="15.75" customHeight="1">
      <c r="C66" s="70"/>
    </row>
    <row r="67" ht="15.75" customHeight="1">
      <c r="C67" s="70"/>
    </row>
    <row r="68" ht="15.75" customHeight="1">
      <c r="C68" s="70"/>
    </row>
    <row r="69" ht="15.75" customHeight="1">
      <c r="C69" s="70"/>
    </row>
    <row r="70" ht="15.75" customHeight="1">
      <c r="C70" s="70"/>
    </row>
    <row r="71" ht="15.75" customHeight="1">
      <c r="C71" s="70"/>
    </row>
    <row r="72" ht="15.75" customHeight="1">
      <c r="C72" s="70"/>
    </row>
    <row r="73" ht="15.75" customHeight="1">
      <c r="C73" s="70"/>
    </row>
    <row r="74" ht="15.75" customHeight="1">
      <c r="C74" s="70"/>
    </row>
    <row r="75" ht="15.75" customHeight="1">
      <c r="C75" s="70"/>
    </row>
    <row r="76" ht="15.75" customHeight="1">
      <c r="C76" s="70"/>
    </row>
    <row r="77" ht="15.75" customHeight="1">
      <c r="C77" s="70"/>
    </row>
    <row r="78" ht="15.75" customHeight="1">
      <c r="C78" s="70"/>
    </row>
    <row r="79" ht="15.75" customHeight="1">
      <c r="C79" s="70"/>
    </row>
    <row r="80" ht="15.75" customHeight="1">
      <c r="C80" s="70"/>
    </row>
    <row r="81" ht="15.75" customHeight="1">
      <c r="C81" s="70"/>
    </row>
    <row r="82" ht="15.75" customHeight="1">
      <c r="C82" s="70"/>
    </row>
    <row r="83" ht="15.75" customHeight="1">
      <c r="C83" s="70"/>
    </row>
    <row r="84" ht="15.75" customHeight="1">
      <c r="C84" s="70"/>
    </row>
    <row r="85" ht="15.75" customHeight="1">
      <c r="C85" s="70"/>
    </row>
    <row r="86" ht="15.75" customHeight="1">
      <c r="C86" s="70"/>
    </row>
    <row r="87" ht="15.75" customHeight="1">
      <c r="C87" s="70"/>
    </row>
    <row r="88" ht="15.75" customHeight="1">
      <c r="C88" s="70"/>
    </row>
    <row r="89" ht="15.75" customHeight="1">
      <c r="C89" s="70"/>
    </row>
    <row r="90" ht="15.75" customHeight="1">
      <c r="C90" s="70"/>
    </row>
    <row r="91" ht="15.75" customHeight="1">
      <c r="C91" s="70"/>
    </row>
    <row r="92" ht="15.75" customHeight="1">
      <c r="C92" s="70"/>
    </row>
    <row r="93" ht="15.75" customHeight="1">
      <c r="C93" s="70"/>
    </row>
    <row r="94" ht="15.75" customHeight="1">
      <c r="C94" s="70"/>
    </row>
    <row r="95" ht="15.75" customHeight="1">
      <c r="C95" s="70"/>
    </row>
    <row r="96" ht="15.75" customHeight="1">
      <c r="C96" s="70"/>
    </row>
    <row r="97" ht="15.75" customHeight="1">
      <c r="C97" s="70"/>
    </row>
    <row r="98" ht="15.75" customHeight="1">
      <c r="C98" s="70"/>
    </row>
    <row r="99" ht="15.75" customHeight="1">
      <c r="C99" s="70"/>
    </row>
    <row r="100" ht="15.75" customHeight="1">
      <c r="C100" s="70"/>
    </row>
    <row r="101" ht="15.75" customHeight="1">
      <c r="C101" s="70"/>
    </row>
    <row r="102" ht="15.75" customHeight="1">
      <c r="C102" s="70"/>
    </row>
    <row r="103" ht="15.75" customHeight="1">
      <c r="C103" s="70"/>
    </row>
    <row r="104" ht="15.75" customHeight="1">
      <c r="C104" s="70"/>
    </row>
    <row r="105" ht="15.75" customHeight="1">
      <c r="C105" s="70"/>
    </row>
    <row r="106" ht="15.75" customHeight="1">
      <c r="C106" s="70"/>
    </row>
    <row r="107" ht="15.75" customHeight="1">
      <c r="C107" s="70"/>
    </row>
    <row r="108" ht="15.75" customHeight="1">
      <c r="C108" s="70"/>
    </row>
    <row r="109" ht="15.75" customHeight="1">
      <c r="C109" s="70"/>
    </row>
    <row r="110" ht="15.75" customHeight="1">
      <c r="C110" s="70"/>
    </row>
    <row r="111" ht="15.75" customHeight="1">
      <c r="C111" s="70"/>
    </row>
    <row r="112" ht="15.75" customHeight="1">
      <c r="C112" s="70"/>
    </row>
    <row r="113" ht="15.75" customHeight="1">
      <c r="C113" s="70"/>
    </row>
    <row r="114" ht="15.75" customHeight="1">
      <c r="C114" s="70"/>
    </row>
    <row r="115" ht="15.75" customHeight="1">
      <c r="C115" s="70"/>
    </row>
    <row r="116" ht="15.75" customHeight="1">
      <c r="C116" s="70"/>
    </row>
    <row r="117" ht="15.75" customHeight="1">
      <c r="C117" s="70"/>
    </row>
    <row r="118" ht="15.75" customHeight="1">
      <c r="C118" s="70"/>
    </row>
    <row r="119" ht="15.75" customHeight="1">
      <c r="C119" s="70"/>
    </row>
    <row r="120" ht="15.75" customHeight="1">
      <c r="C120" s="70"/>
    </row>
    <row r="121" ht="15.75" customHeight="1">
      <c r="C121" s="70"/>
    </row>
    <row r="122" ht="15.75" customHeight="1">
      <c r="C122" s="70"/>
    </row>
    <row r="123" ht="15.75" customHeight="1">
      <c r="C123" s="70"/>
    </row>
    <row r="124" ht="15.75" customHeight="1">
      <c r="C124" s="70"/>
    </row>
    <row r="125" ht="15.75" customHeight="1">
      <c r="C125" s="70"/>
    </row>
    <row r="126" ht="15.75" customHeight="1">
      <c r="C126" s="70"/>
    </row>
    <row r="127" ht="15.75" customHeight="1">
      <c r="C127" s="70"/>
    </row>
    <row r="128" ht="15.75" customHeight="1">
      <c r="C128" s="70"/>
    </row>
    <row r="129" ht="15.75" customHeight="1">
      <c r="C129" s="70"/>
    </row>
    <row r="130" ht="15.75" customHeight="1">
      <c r="C130" s="70"/>
    </row>
    <row r="131" ht="15.75" customHeight="1">
      <c r="C131" s="70"/>
    </row>
    <row r="132" ht="15.75" customHeight="1">
      <c r="C132" s="70"/>
    </row>
    <row r="133" ht="15.75" customHeight="1">
      <c r="C133" s="70"/>
    </row>
    <row r="134" ht="15.75" customHeight="1">
      <c r="C134" s="70"/>
    </row>
    <row r="135" ht="15.75" customHeight="1">
      <c r="C135" s="70"/>
    </row>
    <row r="136" ht="15.75" customHeight="1">
      <c r="C136" s="70"/>
    </row>
    <row r="137" ht="15.75" customHeight="1">
      <c r="C137" s="70"/>
    </row>
    <row r="138" ht="15.75" customHeight="1">
      <c r="C138" s="70"/>
    </row>
    <row r="139" ht="15.75" customHeight="1">
      <c r="C139" s="70"/>
    </row>
    <row r="140" ht="15.75" customHeight="1">
      <c r="C140" s="70"/>
    </row>
    <row r="141" ht="15.75" customHeight="1">
      <c r="C141" s="70"/>
    </row>
    <row r="142" ht="15.75" customHeight="1">
      <c r="C142" s="70"/>
    </row>
    <row r="143" ht="15.75" customHeight="1">
      <c r="C143" s="70"/>
    </row>
    <row r="144" ht="15.75" customHeight="1">
      <c r="C144" s="70"/>
    </row>
    <row r="145" ht="15.75" customHeight="1">
      <c r="C145" s="70"/>
    </row>
    <row r="146" ht="15.75" customHeight="1">
      <c r="C146" s="70"/>
    </row>
    <row r="147" ht="15.75" customHeight="1">
      <c r="C147" s="70"/>
    </row>
    <row r="148" ht="15.75" customHeight="1">
      <c r="C148" s="70"/>
    </row>
    <row r="149" ht="15.75" customHeight="1">
      <c r="C149" s="70"/>
    </row>
    <row r="150" ht="15.75" customHeight="1">
      <c r="C150" s="70"/>
    </row>
    <row r="151" ht="15.75" customHeight="1">
      <c r="C151" s="70"/>
    </row>
    <row r="152" ht="15.75" customHeight="1">
      <c r="C152" s="70"/>
    </row>
    <row r="153" ht="15.75" customHeight="1">
      <c r="C153" s="70"/>
    </row>
    <row r="154" ht="15.75" customHeight="1">
      <c r="C154" s="70"/>
    </row>
    <row r="155" ht="15.75" customHeight="1">
      <c r="C155" s="70"/>
    </row>
    <row r="156" ht="15.75" customHeight="1">
      <c r="C156" s="70"/>
    </row>
    <row r="157" ht="15.75" customHeight="1">
      <c r="C157" s="70"/>
    </row>
    <row r="158" ht="15.75" customHeight="1">
      <c r="C158" s="70"/>
    </row>
    <row r="159" ht="15.75" customHeight="1">
      <c r="C159" s="70"/>
    </row>
    <row r="160" ht="15.75" customHeight="1">
      <c r="C160" s="70"/>
    </row>
    <row r="161" ht="15.75" customHeight="1">
      <c r="C161" s="70"/>
    </row>
    <row r="162" ht="15.75" customHeight="1">
      <c r="C162" s="70"/>
    </row>
    <row r="163" ht="15.75" customHeight="1">
      <c r="C163" s="70"/>
    </row>
    <row r="164" ht="15.75" customHeight="1">
      <c r="C164" s="70"/>
    </row>
    <row r="165" ht="15.75" customHeight="1">
      <c r="C165" s="70"/>
    </row>
    <row r="166" ht="15.75" customHeight="1">
      <c r="C166" s="70"/>
    </row>
    <row r="167" ht="15.75" customHeight="1">
      <c r="C167" s="70"/>
    </row>
    <row r="168" ht="15.75" customHeight="1">
      <c r="C168" s="70"/>
    </row>
    <row r="169" ht="15.75" customHeight="1">
      <c r="C169" s="70"/>
    </row>
    <row r="170" ht="15.75" customHeight="1">
      <c r="C170" s="70"/>
    </row>
    <row r="171" ht="15.75" customHeight="1">
      <c r="C171" s="70"/>
    </row>
    <row r="172" ht="15.75" customHeight="1">
      <c r="C172" s="70"/>
    </row>
    <row r="173" ht="15.75" customHeight="1">
      <c r="C173" s="70"/>
    </row>
    <row r="174" ht="15.75" customHeight="1">
      <c r="C174" s="70"/>
    </row>
    <row r="175" ht="15.75" customHeight="1">
      <c r="C175" s="70"/>
    </row>
    <row r="176" ht="15.75" customHeight="1">
      <c r="C176" s="70"/>
    </row>
    <row r="177" ht="15.75" customHeight="1">
      <c r="C177" s="70"/>
    </row>
    <row r="178" ht="15.75" customHeight="1">
      <c r="C178" s="70"/>
    </row>
    <row r="179" ht="15.75" customHeight="1">
      <c r="C179" s="70"/>
    </row>
    <row r="180" ht="15.75" customHeight="1">
      <c r="C180" s="70"/>
    </row>
    <row r="181" ht="15.75" customHeight="1">
      <c r="C181" s="70"/>
    </row>
    <row r="182" ht="15.75" customHeight="1">
      <c r="C182" s="70"/>
    </row>
    <row r="183" ht="15.75" customHeight="1">
      <c r="C183" s="70"/>
    </row>
    <row r="184" ht="15.75" customHeight="1">
      <c r="C184" s="70"/>
    </row>
    <row r="185" ht="15.75" customHeight="1">
      <c r="C185" s="70"/>
    </row>
    <row r="186" ht="15.75" customHeight="1">
      <c r="C186" s="70"/>
    </row>
    <row r="187" ht="15.75" customHeight="1">
      <c r="C187" s="70"/>
    </row>
    <row r="188" ht="15.75" customHeight="1">
      <c r="C188" s="70"/>
    </row>
    <row r="189" ht="15.75" customHeight="1">
      <c r="C189" s="70"/>
    </row>
    <row r="190" ht="15.75" customHeight="1">
      <c r="C190" s="70"/>
    </row>
    <row r="191" ht="15.75" customHeight="1">
      <c r="C191" s="70"/>
    </row>
    <row r="192" ht="15.75" customHeight="1">
      <c r="C192" s="70"/>
    </row>
    <row r="193" ht="15.75" customHeight="1">
      <c r="C193" s="70"/>
    </row>
    <row r="194" ht="15.75" customHeight="1">
      <c r="C194" s="70"/>
    </row>
    <row r="195" ht="15.75" customHeight="1">
      <c r="C195" s="70"/>
    </row>
    <row r="196" ht="15.75" customHeight="1">
      <c r="C196" s="70"/>
    </row>
    <row r="197" ht="15.75" customHeight="1">
      <c r="C197" s="70"/>
    </row>
    <row r="198" ht="15.75" customHeight="1">
      <c r="C198" s="70"/>
    </row>
    <row r="199" ht="15.75" customHeight="1">
      <c r="C199" s="70"/>
    </row>
    <row r="200" ht="15.75" customHeight="1">
      <c r="C200" s="70"/>
    </row>
    <row r="201" ht="15.75" customHeight="1">
      <c r="C201" s="70"/>
    </row>
    <row r="202" ht="15.75" customHeight="1">
      <c r="C202" s="70"/>
    </row>
    <row r="203" ht="15.75" customHeight="1">
      <c r="C203" s="70"/>
    </row>
    <row r="204" ht="15.75" customHeight="1">
      <c r="C204" s="70"/>
    </row>
    <row r="205" ht="15.75" customHeight="1">
      <c r="C205" s="70"/>
    </row>
    <row r="206" ht="15.75" customHeight="1">
      <c r="C206" s="70"/>
    </row>
    <row r="207" ht="15.75" customHeight="1">
      <c r="C207" s="70"/>
    </row>
    <row r="208" ht="15.75" customHeight="1">
      <c r="C208" s="70"/>
    </row>
    <row r="209" ht="15.75" customHeight="1">
      <c r="C209" s="70"/>
    </row>
    <row r="210" ht="15.75" customHeight="1">
      <c r="C210" s="70"/>
    </row>
    <row r="211" ht="15.75" customHeight="1">
      <c r="C211" s="70"/>
    </row>
    <row r="212" ht="15.75" customHeight="1">
      <c r="C212" s="70"/>
    </row>
    <row r="213" ht="15.75" customHeight="1">
      <c r="C213" s="70"/>
    </row>
    <row r="214" ht="15.75" customHeight="1">
      <c r="C214" s="70"/>
    </row>
    <row r="215" ht="15.75" customHeight="1">
      <c r="C215" s="70"/>
    </row>
    <row r="216" ht="15.75" customHeight="1">
      <c r="C216" s="70"/>
    </row>
    <row r="217" ht="15.75" customHeight="1">
      <c r="C217" s="70"/>
    </row>
    <row r="218" ht="15.75" customHeight="1">
      <c r="C218" s="70"/>
    </row>
    <row r="219" ht="15.75" customHeight="1">
      <c r="C219" s="70"/>
    </row>
    <row r="220" ht="15.75" customHeight="1">
      <c r="C220" s="70"/>
    </row>
    <row r="221" ht="15.75" customHeight="1">
      <c r="C221" s="70"/>
    </row>
    <row r="222" ht="15.75" customHeight="1">
      <c r="C222" s="70"/>
    </row>
    <row r="223" ht="15.75" customHeight="1">
      <c r="C223" s="70"/>
    </row>
    <row r="224" ht="15.75" customHeight="1">
      <c r="C224" s="70"/>
    </row>
    <row r="225" ht="15.75" customHeight="1">
      <c r="C225" s="70"/>
    </row>
    <row r="226" ht="15.75" customHeight="1">
      <c r="C226" s="70"/>
    </row>
    <row r="227" ht="15.75" customHeight="1">
      <c r="C227" s="70"/>
    </row>
    <row r="228" ht="15.75" customHeight="1">
      <c r="C228" s="70"/>
    </row>
    <row r="229" ht="15.75" customHeight="1">
      <c r="C229" s="70"/>
    </row>
    <row r="230" ht="15.75" customHeight="1">
      <c r="C230" s="70"/>
    </row>
    <row r="231" ht="15.75" customHeight="1">
      <c r="C231" s="70"/>
    </row>
    <row r="232" ht="15.75" customHeight="1">
      <c r="C232" s="70"/>
    </row>
    <row r="233" ht="15.75" customHeight="1">
      <c r="C233" s="70"/>
    </row>
    <row r="234" ht="15.75" customHeight="1">
      <c r="C234" s="70"/>
    </row>
    <row r="235" ht="15.75" customHeight="1">
      <c r="C235" s="70"/>
    </row>
    <row r="236" ht="15.75" customHeight="1">
      <c r="C236" s="70"/>
    </row>
    <row r="237" ht="15.75" customHeight="1">
      <c r="C237" s="70"/>
    </row>
    <row r="238" ht="15.75" customHeight="1">
      <c r="C238" s="70"/>
    </row>
    <row r="239" ht="15.75" customHeight="1">
      <c r="C239" s="70"/>
    </row>
    <row r="240" ht="15.75" customHeight="1">
      <c r="C240" s="70"/>
    </row>
    <row r="241" ht="15.75" customHeight="1">
      <c r="C241" s="70"/>
    </row>
    <row r="242" ht="15.75" customHeight="1">
      <c r="C242" s="70"/>
    </row>
    <row r="243" ht="15.75" customHeight="1">
      <c r="C243" s="70"/>
    </row>
    <row r="244" ht="15.75" customHeight="1">
      <c r="C244" s="70"/>
    </row>
    <row r="245" ht="15.75" customHeight="1">
      <c r="C245" s="70"/>
    </row>
    <row r="246" ht="15.75" customHeight="1">
      <c r="C246" s="70"/>
    </row>
    <row r="247" ht="15.75" customHeight="1">
      <c r="C247" s="70"/>
    </row>
    <row r="248" ht="15.75" customHeight="1">
      <c r="C248" s="70"/>
    </row>
    <row r="249" ht="15.75" customHeight="1">
      <c r="C249" s="70"/>
    </row>
    <row r="250" ht="15.75" customHeight="1">
      <c r="C250" s="70"/>
    </row>
    <row r="251" ht="15.75" customHeight="1">
      <c r="C251" s="70"/>
    </row>
    <row r="252" ht="15.75" customHeight="1">
      <c r="C252" s="70"/>
    </row>
    <row r="253" ht="15.75" customHeight="1">
      <c r="C253" s="70"/>
    </row>
    <row r="254" ht="15.75" customHeight="1">
      <c r="C254" s="70"/>
    </row>
    <row r="255" ht="15.75" customHeight="1">
      <c r="C255" s="70"/>
    </row>
    <row r="256" ht="15.75" customHeight="1">
      <c r="C256" s="70"/>
    </row>
    <row r="257" ht="15.75" customHeight="1">
      <c r="C257" s="70"/>
    </row>
    <row r="258" ht="15.75" customHeight="1">
      <c r="C258" s="70"/>
    </row>
    <row r="259" ht="15.75" customHeight="1">
      <c r="C259" s="70"/>
    </row>
    <row r="260" ht="15.75" customHeight="1">
      <c r="C260" s="70"/>
    </row>
    <row r="261" ht="15.75" customHeight="1">
      <c r="C261" s="70"/>
    </row>
    <row r="262" ht="15.75" customHeight="1">
      <c r="C262" s="70"/>
    </row>
    <row r="263" ht="15.75" customHeight="1">
      <c r="C263" s="70"/>
    </row>
    <row r="264" ht="15.75" customHeight="1">
      <c r="C264" s="70"/>
    </row>
    <row r="265" ht="15.75" customHeight="1">
      <c r="C265" s="70"/>
    </row>
    <row r="266" ht="15.75" customHeight="1">
      <c r="C266" s="70"/>
    </row>
    <row r="267" ht="15.75" customHeight="1">
      <c r="C267" s="70"/>
    </row>
    <row r="268" ht="15.75" customHeight="1">
      <c r="C268" s="70"/>
    </row>
    <row r="269" ht="15.75" customHeight="1">
      <c r="C269" s="70"/>
    </row>
    <row r="270" ht="15.75" customHeight="1">
      <c r="C270" s="70"/>
    </row>
    <row r="271" ht="15.75" customHeight="1">
      <c r="C271" s="70"/>
    </row>
    <row r="272" ht="15.75" customHeight="1">
      <c r="C272" s="70"/>
    </row>
    <row r="273" ht="15.75" customHeight="1">
      <c r="C273" s="70"/>
    </row>
    <row r="274" ht="15.75" customHeight="1">
      <c r="C274" s="70"/>
    </row>
    <row r="275" ht="15.75" customHeight="1">
      <c r="C275" s="70"/>
    </row>
    <row r="276" ht="15.75" customHeight="1">
      <c r="C276" s="70"/>
    </row>
    <row r="277" ht="15.75" customHeight="1">
      <c r="C277" s="70"/>
    </row>
    <row r="278" ht="15.75" customHeight="1">
      <c r="C278" s="70"/>
    </row>
    <row r="279" ht="15.75" customHeight="1">
      <c r="C279" s="70"/>
    </row>
    <row r="280" ht="15.75" customHeight="1">
      <c r="C280" s="70"/>
    </row>
    <row r="281" ht="15.75" customHeight="1">
      <c r="C281" s="70"/>
    </row>
    <row r="282" ht="15.75" customHeight="1">
      <c r="C282" s="70"/>
    </row>
    <row r="283" ht="15.75" customHeight="1">
      <c r="C283" s="70"/>
    </row>
    <row r="284" ht="15.75" customHeight="1">
      <c r="C284" s="70"/>
    </row>
    <row r="285" ht="15.75" customHeight="1">
      <c r="C285" s="70"/>
    </row>
    <row r="286" ht="15.75" customHeight="1">
      <c r="C286" s="70"/>
    </row>
    <row r="287" ht="15.75" customHeight="1">
      <c r="C287" s="70"/>
    </row>
    <row r="288" ht="15.75" customHeight="1">
      <c r="C288" s="70"/>
    </row>
    <row r="289" ht="15.75" customHeight="1">
      <c r="C289" s="70"/>
    </row>
    <row r="290" ht="15.75" customHeight="1">
      <c r="C290" s="70"/>
    </row>
    <row r="291" ht="15.75" customHeight="1">
      <c r="C291" s="70"/>
    </row>
    <row r="292" ht="15.75" customHeight="1">
      <c r="C292" s="70"/>
    </row>
    <row r="293" ht="15.75" customHeight="1">
      <c r="C293" s="70"/>
    </row>
    <row r="294" ht="15.75" customHeight="1">
      <c r="C294" s="70"/>
    </row>
    <row r="295" ht="15.75" customHeight="1">
      <c r="C295" s="70"/>
    </row>
    <row r="296" ht="15.75" customHeight="1">
      <c r="C296" s="70"/>
    </row>
    <row r="297" ht="15.75" customHeight="1">
      <c r="C297" s="70"/>
    </row>
    <row r="298" ht="15.75" customHeight="1">
      <c r="C298" s="70"/>
    </row>
    <row r="299" ht="15.75" customHeight="1">
      <c r="C299" s="70"/>
    </row>
    <row r="300" ht="15.75" customHeight="1">
      <c r="C300" s="70"/>
    </row>
    <row r="301" ht="15.75" customHeight="1">
      <c r="C301" s="70"/>
    </row>
    <row r="302" ht="15.75" customHeight="1">
      <c r="C302" s="70"/>
    </row>
    <row r="303" ht="15.75" customHeight="1">
      <c r="C303" s="70"/>
    </row>
    <row r="304" ht="15.75" customHeight="1">
      <c r="C304" s="70"/>
    </row>
    <row r="305" ht="15.75" customHeight="1">
      <c r="C305" s="70"/>
    </row>
    <row r="306" ht="15.75" customHeight="1">
      <c r="C306" s="70"/>
    </row>
    <row r="307" ht="15.75" customHeight="1">
      <c r="C307" s="70"/>
    </row>
    <row r="308" ht="15.75" customHeight="1">
      <c r="C308" s="70"/>
    </row>
    <row r="309" ht="15.75" customHeight="1">
      <c r="C309" s="70"/>
    </row>
    <row r="310" ht="15.75" customHeight="1">
      <c r="C310" s="70"/>
    </row>
    <row r="311" ht="15.75" customHeight="1">
      <c r="C311" s="70"/>
    </row>
    <row r="312" ht="15.75" customHeight="1">
      <c r="C312" s="70"/>
    </row>
    <row r="313" ht="15.75" customHeight="1">
      <c r="C313" s="70"/>
    </row>
    <row r="314" ht="15.75" customHeight="1">
      <c r="C314" s="70"/>
    </row>
    <row r="315" ht="15.75" customHeight="1">
      <c r="C315" s="70"/>
    </row>
    <row r="316" ht="15.75" customHeight="1">
      <c r="C316" s="70"/>
    </row>
    <row r="317" ht="15.75" customHeight="1">
      <c r="C317" s="70"/>
    </row>
    <row r="318" ht="15.75" customHeight="1">
      <c r="C318" s="70"/>
    </row>
    <row r="319" ht="15.75" customHeight="1">
      <c r="C319" s="70"/>
    </row>
    <row r="320" ht="15.75" customHeight="1">
      <c r="C320" s="70"/>
    </row>
    <row r="321" ht="15.75" customHeight="1">
      <c r="C321" s="70"/>
    </row>
    <row r="322" ht="15.75" customHeight="1">
      <c r="C322" s="70"/>
    </row>
    <row r="323" ht="15.75" customHeight="1">
      <c r="C323" s="70"/>
    </row>
    <row r="324" ht="15.75" customHeight="1">
      <c r="C324" s="70"/>
    </row>
    <row r="325" ht="15.75" customHeight="1">
      <c r="C325" s="70"/>
    </row>
    <row r="326" ht="15.75" customHeight="1">
      <c r="C326" s="70"/>
    </row>
    <row r="327" ht="15.75" customHeight="1">
      <c r="C327" s="70"/>
    </row>
    <row r="328" ht="15.75" customHeight="1">
      <c r="C328" s="70"/>
    </row>
    <row r="329" ht="15.75" customHeight="1">
      <c r="C329" s="70"/>
    </row>
    <row r="330" ht="15.75" customHeight="1">
      <c r="C330" s="70"/>
    </row>
    <row r="331" ht="15.75" customHeight="1">
      <c r="C331" s="70"/>
    </row>
    <row r="332" ht="15.75" customHeight="1">
      <c r="C332" s="70"/>
    </row>
    <row r="333" ht="15.75" customHeight="1">
      <c r="C333" s="70"/>
    </row>
    <row r="334" ht="15.75" customHeight="1">
      <c r="C334" s="70"/>
    </row>
    <row r="335" ht="15.75" customHeight="1">
      <c r="C335" s="70"/>
    </row>
    <row r="336" ht="15.75" customHeight="1">
      <c r="C336" s="70"/>
    </row>
    <row r="337" ht="15.75" customHeight="1">
      <c r="C337" s="70"/>
    </row>
    <row r="338" ht="15.75" customHeight="1">
      <c r="C338" s="70"/>
    </row>
    <row r="339" ht="15.75" customHeight="1">
      <c r="C339" s="70"/>
    </row>
    <row r="340" ht="15.75" customHeight="1">
      <c r="C340" s="70"/>
    </row>
    <row r="341" ht="15.75" customHeight="1">
      <c r="C341" s="70"/>
    </row>
    <row r="342" ht="15.75" customHeight="1">
      <c r="C342" s="70"/>
    </row>
    <row r="343" ht="15.75" customHeight="1">
      <c r="C343" s="70"/>
    </row>
    <row r="344" ht="15.75" customHeight="1">
      <c r="C344" s="70"/>
    </row>
    <row r="345" ht="15.75" customHeight="1">
      <c r="C345" s="70"/>
    </row>
    <row r="346" ht="15.75" customHeight="1">
      <c r="C346" s="70"/>
    </row>
    <row r="347" ht="15.75" customHeight="1">
      <c r="C347" s="70"/>
    </row>
    <row r="348" ht="15.75" customHeight="1">
      <c r="C348" s="70"/>
    </row>
    <row r="349" ht="15.75" customHeight="1">
      <c r="C349" s="70"/>
    </row>
    <row r="350" ht="15.75" customHeight="1">
      <c r="C350" s="70"/>
    </row>
    <row r="351" ht="15.75" customHeight="1">
      <c r="C351" s="70"/>
    </row>
    <row r="352" ht="15.75" customHeight="1">
      <c r="C352" s="70"/>
    </row>
    <row r="353" ht="15.75" customHeight="1">
      <c r="C353" s="70"/>
    </row>
    <row r="354" ht="15.75" customHeight="1">
      <c r="C354" s="70"/>
    </row>
    <row r="355" ht="15.75" customHeight="1">
      <c r="C355" s="70"/>
    </row>
    <row r="356" ht="15.75" customHeight="1">
      <c r="C356" s="70"/>
    </row>
    <row r="357" ht="15.75" customHeight="1">
      <c r="C357" s="70"/>
    </row>
    <row r="358" ht="15.75" customHeight="1">
      <c r="C358" s="70"/>
    </row>
    <row r="359" ht="15.75" customHeight="1">
      <c r="C359" s="70"/>
    </row>
    <row r="360" ht="15.75" customHeight="1">
      <c r="C360" s="70"/>
    </row>
    <row r="361" ht="15.75" customHeight="1">
      <c r="C361" s="70"/>
    </row>
    <row r="362" ht="15.75" customHeight="1">
      <c r="C362" s="70"/>
    </row>
    <row r="363" ht="15.75" customHeight="1">
      <c r="C363" s="70"/>
    </row>
    <row r="364" ht="15.75" customHeight="1">
      <c r="C364" s="70"/>
    </row>
    <row r="365" ht="15.75" customHeight="1">
      <c r="C365" s="70"/>
    </row>
    <row r="366" ht="15.75" customHeight="1">
      <c r="C366" s="70"/>
    </row>
    <row r="367" ht="15.75" customHeight="1">
      <c r="C367" s="70"/>
    </row>
    <row r="368" ht="15.75" customHeight="1">
      <c r="C368" s="70"/>
    </row>
    <row r="369" ht="15.75" customHeight="1">
      <c r="C369" s="70"/>
    </row>
    <row r="370" ht="15.75" customHeight="1">
      <c r="C370" s="70"/>
    </row>
    <row r="371" ht="15.75" customHeight="1">
      <c r="C371" s="70"/>
    </row>
    <row r="372" ht="15.75" customHeight="1">
      <c r="C372" s="70"/>
    </row>
    <row r="373" ht="15.75" customHeight="1">
      <c r="C373" s="70"/>
    </row>
    <row r="374" ht="15.75" customHeight="1">
      <c r="C374" s="70"/>
    </row>
    <row r="375" ht="15.75" customHeight="1">
      <c r="C375" s="70"/>
    </row>
    <row r="376" ht="15.75" customHeight="1">
      <c r="C376" s="70"/>
    </row>
    <row r="377" ht="15.75" customHeight="1">
      <c r="C377" s="70"/>
    </row>
    <row r="378" ht="15.75" customHeight="1">
      <c r="C378" s="70"/>
    </row>
    <row r="379" ht="15.75" customHeight="1">
      <c r="C379" s="70"/>
    </row>
    <row r="380" ht="15.75" customHeight="1">
      <c r="C380" s="70"/>
    </row>
    <row r="381" ht="15.75" customHeight="1">
      <c r="C381" s="70"/>
    </row>
    <row r="382" ht="15.75" customHeight="1">
      <c r="C382" s="70"/>
    </row>
    <row r="383" ht="15.75" customHeight="1">
      <c r="C383" s="70"/>
    </row>
    <row r="384" ht="15.75" customHeight="1">
      <c r="C384" s="70"/>
    </row>
    <row r="385" ht="15.75" customHeight="1">
      <c r="C385" s="70"/>
    </row>
    <row r="386" ht="15.75" customHeight="1">
      <c r="C386" s="70"/>
    </row>
    <row r="387" ht="15.75" customHeight="1">
      <c r="C387" s="70"/>
    </row>
    <row r="388" ht="15.75" customHeight="1">
      <c r="C388" s="70"/>
    </row>
    <row r="389" ht="15.75" customHeight="1">
      <c r="C389" s="70"/>
    </row>
    <row r="390" ht="15.75" customHeight="1">
      <c r="C390" s="70"/>
    </row>
    <row r="391" ht="15.75" customHeight="1">
      <c r="C391" s="70"/>
    </row>
    <row r="392" ht="15.75" customHeight="1">
      <c r="C392" s="70"/>
    </row>
    <row r="393" ht="15.75" customHeight="1">
      <c r="C393" s="70"/>
    </row>
    <row r="394" ht="15.75" customHeight="1">
      <c r="C394" s="70"/>
    </row>
    <row r="395" ht="15.75" customHeight="1">
      <c r="C395" s="70"/>
    </row>
    <row r="396" ht="15.75" customHeight="1">
      <c r="C396" s="70"/>
    </row>
    <row r="397" ht="15.75" customHeight="1">
      <c r="C397" s="70"/>
    </row>
    <row r="398" ht="15.75" customHeight="1">
      <c r="C398" s="70"/>
    </row>
    <row r="399" ht="15.75" customHeight="1">
      <c r="C399" s="70"/>
    </row>
    <row r="400" ht="15.75" customHeight="1">
      <c r="C400" s="70"/>
    </row>
    <row r="401" ht="15.75" customHeight="1">
      <c r="C401" s="70"/>
    </row>
    <row r="402" ht="15.75" customHeight="1">
      <c r="C402" s="70"/>
    </row>
    <row r="403" ht="15.75" customHeight="1">
      <c r="C403" s="70"/>
    </row>
    <row r="404" ht="15.75" customHeight="1">
      <c r="C404" s="70"/>
    </row>
    <row r="405" ht="15.75" customHeight="1">
      <c r="C405" s="70"/>
    </row>
    <row r="406" ht="15.75" customHeight="1">
      <c r="C406" s="70"/>
    </row>
    <row r="407" ht="15.75" customHeight="1">
      <c r="C407" s="70"/>
    </row>
    <row r="408" ht="15.75" customHeight="1">
      <c r="C408" s="70"/>
    </row>
    <row r="409" ht="15.75" customHeight="1">
      <c r="C409" s="70"/>
    </row>
    <row r="410" ht="15.75" customHeight="1">
      <c r="C410" s="70"/>
    </row>
    <row r="411" ht="15.75" customHeight="1">
      <c r="C411" s="70"/>
    </row>
    <row r="412" ht="15.75" customHeight="1">
      <c r="C412" s="70"/>
    </row>
    <row r="413" ht="15.75" customHeight="1">
      <c r="C413" s="70"/>
    </row>
    <row r="414" ht="15.75" customHeight="1">
      <c r="C414" s="70"/>
    </row>
    <row r="415" ht="15.75" customHeight="1">
      <c r="C415" s="70"/>
    </row>
    <row r="416" ht="15.75" customHeight="1">
      <c r="C416" s="70"/>
    </row>
    <row r="417" ht="15.75" customHeight="1">
      <c r="C417" s="70"/>
    </row>
    <row r="418" ht="15.75" customHeight="1">
      <c r="C418" s="70"/>
    </row>
    <row r="419" ht="15.75" customHeight="1">
      <c r="C419" s="70"/>
    </row>
    <row r="420" ht="15.75" customHeight="1">
      <c r="C420" s="70"/>
    </row>
    <row r="421" ht="15.75" customHeight="1">
      <c r="C421" s="70"/>
    </row>
    <row r="422" ht="15.75" customHeight="1">
      <c r="C422" s="70"/>
    </row>
    <row r="423" ht="15.75" customHeight="1">
      <c r="C423" s="70"/>
    </row>
    <row r="424" ht="15.75" customHeight="1">
      <c r="C424" s="70"/>
    </row>
    <row r="425" ht="15.75" customHeight="1">
      <c r="C425" s="70"/>
    </row>
    <row r="426" ht="15.75" customHeight="1">
      <c r="C426" s="70"/>
    </row>
    <row r="427" ht="15.75" customHeight="1">
      <c r="C427" s="70"/>
    </row>
    <row r="428" ht="15.75" customHeight="1">
      <c r="C428" s="70"/>
    </row>
    <row r="429" ht="15.75" customHeight="1">
      <c r="C429" s="70"/>
    </row>
    <row r="430" ht="15.75" customHeight="1">
      <c r="C430" s="70"/>
    </row>
    <row r="431" ht="15.75" customHeight="1">
      <c r="C431" s="70"/>
    </row>
    <row r="432" ht="15.75" customHeight="1">
      <c r="C432" s="70"/>
    </row>
    <row r="433" ht="15.75" customHeight="1">
      <c r="C433" s="70"/>
    </row>
    <row r="434" ht="15.75" customHeight="1">
      <c r="C434" s="70"/>
    </row>
    <row r="435" ht="15.75" customHeight="1">
      <c r="C435" s="70"/>
    </row>
    <row r="436" ht="15.75" customHeight="1">
      <c r="C436" s="70"/>
    </row>
    <row r="437" ht="15.75" customHeight="1">
      <c r="C437" s="70"/>
    </row>
    <row r="438" ht="15.75" customHeight="1">
      <c r="C438" s="70"/>
    </row>
    <row r="439" ht="15.75" customHeight="1">
      <c r="C439" s="70"/>
    </row>
    <row r="440" ht="15.75" customHeight="1">
      <c r="C440" s="70"/>
    </row>
    <row r="441" ht="15.75" customHeight="1">
      <c r="C441" s="70"/>
    </row>
    <row r="442" ht="15.75" customHeight="1">
      <c r="C442" s="70"/>
    </row>
    <row r="443" ht="15.75" customHeight="1">
      <c r="C443" s="70"/>
    </row>
    <row r="444" ht="15.75" customHeight="1">
      <c r="C444" s="70"/>
    </row>
    <row r="445" ht="15.75" customHeight="1">
      <c r="C445" s="70"/>
    </row>
    <row r="446" ht="15.75" customHeight="1">
      <c r="C446" s="70"/>
    </row>
    <row r="447" ht="15.75" customHeight="1">
      <c r="C447" s="70"/>
    </row>
    <row r="448" ht="15.75" customHeight="1">
      <c r="C448" s="70"/>
    </row>
    <row r="449" ht="15.75" customHeight="1">
      <c r="C449" s="70"/>
    </row>
    <row r="450" ht="15.75" customHeight="1">
      <c r="C450" s="70"/>
    </row>
    <row r="451" ht="15.75" customHeight="1">
      <c r="C451" s="70"/>
    </row>
    <row r="452" ht="15.75" customHeight="1">
      <c r="C452" s="70"/>
    </row>
    <row r="453" ht="15.75" customHeight="1">
      <c r="C453" s="70"/>
    </row>
    <row r="454" ht="15.75" customHeight="1">
      <c r="C454" s="70"/>
    </row>
    <row r="455" ht="15.75" customHeight="1">
      <c r="C455" s="70"/>
    </row>
    <row r="456" ht="15.75" customHeight="1">
      <c r="C456" s="70"/>
    </row>
    <row r="457" ht="15.75" customHeight="1">
      <c r="C457" s="70"/>
    </row>
    <row r="458" ht="15.75" customHeight="1">
      <c r="C458" s="70"/>
    </row>
    <row r="459" ht="15.75" customHeight="1">
      <c r="C459" s="70"/>
    </row>
    <row r="460" ht="15.75" customHeight="1">
      <c r="C460" s="70"/>
    </row>
    <row r="461" ht="15.75" customHeight="1">
      <c r="C461" s="70"/>
    </row>
    <row r="462" ht="15.75" customHeight="1">
      <c r="C462" s="70"/>
    </row>
    <row r="463" ht="15.75" customHeight="1">
      <c r="C463" s="70"/>
    </row>
    <row r="464" ht="15.75" customHeight="1">
      <c r="C464" s="70"/>
    </row>
    <row r="465" ht="15.75" customHeight="1">
      <c r="C465" s="70"/>
    </row>
    <row r="466" ht="15.75" customHeight="1">
      <c r="C466" s="70"/>
    </row>
    <row r="467" ht="15.75" customHeight="1">
      <c r="C467" s="70"/>
    </row>
    <row r="468" ht="15.75" customHeight="1">
      <c r="C468" s="70"/>
    </row>
    <row r="469" ht="15.75" customHeight="1">
      <c r="C469" s="70"/>
    </row>
    <row r="470" ht="15.75" customHeight="1">
      <c r="C470" s="70"/>
    </row>
    <row r="471" ht="15.75" customHeight="1">
      <c r="C471" s="70"/>
    </row>
    <row r="472" ht="15.75" customHeight="1">
      <c r="C472" s="70"/>
    </row>
    <row r="473" ht="15.75" customHeight="1">
      <c r="C473" s="70"/>
    </row>
    <row r="474" ht="15.75" customHeight="1">
      <c r="C474" s="70"/>
    </row>
    <row r="475" ht="15.75" customHeight="1">
      <c r="C475" s="70"/>
    </row>
    <row r="476" ht="15.75" customHeight="1">
      <c r="C476" s="70"/>
    </row>
    <row r="477" ht="15.75" customHeight="1">
      <c r="C477" s="70"/>
    </row>
    <row r="478" ht="15.75" customHeight="1">
      <c r="C478" s="70"/>
    </row>
    <row r="479" ht="15.75" customHeight="1">
      <c r="C479" s="70"/>
    </row>
    <row r="480" ht="15.75" customHeight="1">
      <c r="C480" s="70"/>
    </row>
    <row r="481" ht="15.75" customHeight="1">
      <c r="C481" s="70"/>
    </row>
    <row r="482" ht="15.75" customHeight="1">
      <c r="C482" s="70"/>
    </row>
    <row r="483" ht="15.75" customHeight="1">
      <c r="C483" s="70"/>
    </row>
    <row r="484" ht="15.75" customHeight="1">
      <c r="C484" s="70"/>
    </row>
    <row r="485" ht="15.75" customHeight="1">
      <c r="C485" s="70"/>
    </row>
    <row r="486" ht="15.75" customHeight="1">
      <c r="C486" s="70"/>
    </row>
    <row r="487" ht="15.75" customHeight="1">
      <c r="C487" s="70"/>
    </row>
    <row r="488" ht="15.75" customHeight="1">
      <c r="C488" s="70"/>
    </row>
    <row r="489" ht="15.75" customHeight="1">
      <c r="C489" s="70"/>
    </row>
    <row r="490" ht="15.75" customHeight="1">
      <c r="C490" s="70"/>
    </row>
    <row r="491" ht="15.75" customHeight="1">
      <c r="C491" s="70"/>
    </row>
    <row r="492" ht="15.75" customHeight="1">
      <c r="C492" s="70"/>
    </row>
    <row r="493" ht="15.75" customHeight="1">
      <c r="C493" s="70"/>
    </row>
    <row r="494" ht="15.75" customHeight="1">
      <c r="C494" s="70"/>
    </row>
    <row r="495" ht="15.75" customHeight="1">
      <c r="C495" s="70"/>
    </row>
    <row r="496" ht="15.75" customHeight="1">
      <c r="C496" s="70"/>
    </row>
    <row r="497" ht="15.75" customHeight="1">
      <c r="C497" s="70"/>
    </row>
    <row r="498" ht="15.75" customHeight="1">
      <c r="C498" s="70"/>
    </row>
    <row r="499" ht="15.75" customHeight="1">
      <c r="C499" s="70"/>
    </row>
    <row r="500" ht="15.75" customHeight="1">
      <c r="C500" s="70"/>
    </row>
    <row r="501" ht="15.75" customHeight="1">
      <c r="C501" s="70"/>
    </row>
    <row r="502" ht="15.75" customHeight="1">
      <c r="C502" s="70"/>
    </row>
    <row r="503" ht="15.75" customHeight="1">
      <c r="C503" s="70"/>
    </row>
    <row r="504" ht="15.75" customHeight="1">
      <c r="C504" s="70"/>
    </row>
    <row r="505" ht="15.75" customHeight="1">
      <c r="C505" s="70"/>
    </row>
    <row r="506" ht="15.75" customHeight="1">
      <c r="C506" s="70"/>
    </row>
    <row r="507" ht="15.75" customHeight="1">
      <c r="C507" s="70"/>
    </row>
    <row r="508" ht="15.75" customHeight="1">
      <c r="C508" s="70"/>
    </row>
    <row r="509" ht="15.75" customHeight="1">
      <c r="C509" s="70"/>
    </row>
    <row r="510" ht="15.75" customHeight="1">
      <c r="C510" s="70"/>
    </row>
    <row r="511" ht="15.75" customHeight="1">
      <c r="C511" s="70"/>
    </row>
    <row r="512" ht="15.75" customHeight="1">
      <c r="C512" s="70"/>
    </row>
    <row r="513" ht="15.75" customHeight="1">
      <c r="C513" s="70"/>
    </row>
    <row r="514" ht="15.75" customHeight="1">
      <c r="C514" s="70"/>
    </row>
    <row r="515" ht="15.75" customHeight="1">
      <c r="C515" s="70"/>
    </row>
    <row r="516" ht="15.75" customHeight="1">
      <c r="C516" s="70"/>
    </row>
    <row r="517" ht="15.75" customHeight="1">
      <c r="C517" s="70"/>
    </row>
    <row r="518" ht="15.75" customHeight="1">
      <c r="C518" s="70"/>
    </row>
    <row r="519" ht="15.75" customHeight="1">
      <c r="C519" s="70"/>
    </row>
    <row r="520" ht="15.75" customHeight="1">
      <c r="C520" s="70"/>
    </row>
    <row r="521" ht="15.75" customHeight="1">
      <c r="C521" s="70"/>
    </row>
    <row r="522" ht="15.75" customHeight="1">
      <c r="C522" s="70"/>
    </row>
    <row r="523" ht="15.75" customHeight="1">
      <c r="C523" s="70"/>
    </row>
    <row r="524" ht="15.75" customHeight="1">
      <c r="C524" s="70"/>
    </row>
    <row r="525" ht="15.75" customHeight="1">
      <c r="C525" s="70"/>
    </row>
    <row r="526" ht="15.75" customHeight="1">
      <c r="C526" s="70"/>
    </row>
    <row r="527" ht="15.75" customHeight="1">
      <c r="C527" s="70"/>
    </row>
    <row r="528" ht="15.75" customHeight="1">
      <c r="C528" s="70"/>
    </row>
    <row r="529" ht="15.75" customHeight="1">
      <c r="C529" s="70"/>
    </row>
    <row r="530" ht="15.75" customHeight="1">
      <c r="C530" s="70"/>
    </row>
    <row r="531" ht="15.75" customHeight="1">
      <c r="C531" s="70"/>
    </row>
    <row r="532" ht="15.75" customHeight="1">
      <c r="C532" s="70"/>
    </row>
    <row r="533" ht="15.75" customHeight="1">
      <c r="C533" s="70"/>
    </row>
    <row r="534" ht="15.75" customHeight="1">
      <c r="C534" s="70"/>
    </row>
    <row r="535" ht="15.75" customHeight="1">
      <c r="C535" s="70"/>
    </row>
    <row r="536" ht="15.75" customHeight="1">
      <c r="C536" s="70"/>
    </row>
    <row r="537" ht="15.75" customHeight="1">
      <c r="C537" s="70"/>
    </row>
    <row r="538" ht="15.75" customHeight="1">
      <c r="C538" s="70"/>
    </row>
    <row r="539" ht="15.75" customHeight="1">
      <c r="C539" s="70"/>
    </row>
    <row r="540" ht="15.75" customHeight="1">
      <c r="C540" s="70"/>
    </row>
    <row r="541" ht="15.75" customHeight="1">
      <c r="C541" s="70"/>
    </row>
    <row r="542" ht="15.75" customHeight="1">
      <c r="C542" s="70"/>
    </row>
    <row r="543" ht="15.75" customHeight="1">
      <c r="C543" s="70"/>
    </row>
    <row r="544" ht="15.75" customHeight="1">
      <c r="C544" s="70"/>
    </row>
    <row r="545" ht="15.75" customHeight="1">
      <c r="C545" s="70"/>
    </row>
    <row r="546" ht="15.75" customHeight="1">
      <c r="C546" s="70"/>
    </row>
    <row r="547" ht="15.75" customHeight="1">
      <c r="C547" s="70"/>
    </row>
    <row r="548" ht="15.75" customHeight="1">
      <c r="C548" s="70"/>
    </row>
    <row r="549" ht="15.75" customHeight="1">
      <c r="C549" s="70"/>
    </row>
    <row r="550" ht="15.75" customHeight="1">
      <c r="C550" s="70"/>
    </row>
    <row r="551" ht="15.75" customHeight="1">
      <c r="C551" s="70"/>
    </row>
    <row r="552" ht="15.75" customHeight="1">
      <c r="C552" s="70"/>
    </row>
    <row r="553" ht="15.75" customHeight="1">
      <c r="C553" s="70"/>
    </row>
    <row r="554" ht="15.75" customHeight="1">
      <c r="C554" s="70"/>
    </row>
    <row r="555" ht="15.75" customHeight="1">
      <c r="C555" s="70"/>
    </row>
    <row r="556" ht="15.75" customHeight="1">
      <c r="C556" s="70"/>
    </row>
    <row r="557" ht="15.75" customHeight="1">
      <c r="C557" s="70"/>
    </row>
    <row r="558" ht="15.75" customHeight="1">
      <c r="C558" s="70"/>
    </row>
    <row r="559" ht="15.75" customHeight="1">
      <c r="C559" s="70"/>
    </row>
    <row r="560" ht="15.75" customHeight="1">
      <c r="C560" s="70"/>
    </row>
    <row r="561" ht="15.75" customHeight="1">
      <c r="C561" s="70"/>
    </row>
    <row r="562" ht="15.75" customHeight="1">
      <c r="C562" s="70"/>
    </row>
    <row r="563" ht="15.75" customHeight="1">
      <c r="C563" s="70"/>
    </row>
    <row r="564" ht="15.75" customHeight="1">
      <c r="C564" s="70"/>
    </row>
    <row r="565" ht="15.75" customHeight="1">
      <c r="C565" s="70"/>
    </row>
    <row r="566" ht="15.75" customHeight="1">
      <c r="C566" s="70"/>
    </row>
    <row r="567" ht="15.75" customHeight="1">
      <c r="C567" s="70"/>
    </row>
    <row r="568" ht="15.75" customHeight="1">
      <c r="C568" s="70"/>
    </row>
    <row r="569" ht="15.75" customHeight="1">
      <c r="C569" s="70"/>
    </row>
    <row r="570" ht="15.75" customHeight="1">
      <c r="C570" s="70"/>
    </row>
    <row r="571" ht="15.75" customHeight="1">
      <c r="C571" s="70"/>
    </row>
    <row r="572" ht="15.75" customHeight="1">
      <c r="C572" s="70"/>
    </row>
    <row r="573" ht="15.75" customHeight="1">
      <c r="C573" s="70"/>
    </row>
    <row r="574" ht="15.75" customHeight="1">
      <c r="C574" s="70"/>
    </row>
    <row r="575" ht="15.75" customHeight="1">
      <c r="C575" s="70"/>
    </row>
    <row r="576" ht="15.75" customHeight="1">
      <c r="C576" s="70"/>
    </row>
    <row r="577" ht="15.75" customHeight="1">
      <c r="C577" s="70"/>
    </row>
    <row r="578" ht="15.75" customHeight="1">
      <c r="C578" s="70"/>
    </row>
    <row r="579" ht="15.75" customHeight="1">
      <c r="C579" s="70"/>
    </row>
    <row r="580" ht="15.75" customHeight="1">
      <c r="C580" s="70"/>
    </row>
    <row r="581" ht="15.75" customHeight="1">
      <c r="C581" s="70"/>
    </row>
    <row r="582" ht="15.75" customHeight="1">
      <c r="C582" s="70"/>
    </row>
    <row r="583" ht="15.75" customHeight="1">
      <c r="C583" s="70"/>
    </row>
    <row r="584" ht="15.75" customHeight="1">
      <c r="C584" s="70"/>
    </row>
    <row r="585" ht="15.75" customHeight="1">
      <c r="C585" s="70"/>
    </row>
    <row r="586" ht="15.75" customHeight="1">
      <c r="C586" s="70"/>
    </row>
    <row r="587" ht="15.75" customHeight="1">
      <c r="C587" s="70"/>
    </row>
    <row r="588" ht="15.75" customHeight="1">
      <c r="C588" s="70"/>
    </row>
    <row r="589" ht="15.75" customHeight="1">
      <c r="C589" s="70"/>
    </row>
    <row r="590" ht="15.75" customHeight="1">
      <c r="C590" s="70"/>
    </row>
    <row r="591" ht="15.75" customHeight="1">
      <c r="C591" s="70"/>
    </row>
    <row r="592" ht="15.75" customHeight="1">
      <c r="C592" s="70"/>
    </row>
    <row r="593" ht="15.75" customHeight="1">
      <c r="C593" s="70"/>
    </row>
    <row r="594" ht="15.75" customHeight="1">
      <c r="C594" s="70"/>
    </row>
    <row r="595" ht="15.75" customHeight="1">
      <c r="C595" s="70"/>
    </row>
    <row r="596" ht="15.75" customHeight="1">
      <c r="C596" s="70"/>
    </row>
    <row r="597" ht="15.75" customHeight="1">
      <c r="C597" s="70"/>
    </row>
    <row r="598" ht="15.75" customHeight="1">
      <c r="C598" s="70"/>
    </row>
    <row r="599" ht="15.75" customHeight="1">
      <c r="C599" s="70"/>
    </row>
    <row r="600" ht="15.75" customHeight="1">
      <c r="C600" s="70"/>
    </row>
    <row r="601" ht="15.75" customHeight="1">
      <c r="C601" s="70"/>
    </row>
    <row r="602" ht="15.75" customHeight="1">
      <c r="C602" s="70"/>
    </row>
    <row r="603" ht="15.75" customHeight="1">
      <c r="C603" s="70"/>
    </row>
    <row r="604" ht="15.75" customHeight="1">
      <c r="C604" s="70"/>
    </row>
    <row r="605" ht="15.75" customHeight="1">
      <c r="C605" s="70"/>
    </row>
    <row r="606" ht="15.75" customHeight="1">
      <c r="C606" s="70"/>
    </row>
    <row r="607" ht="15.75" customHeight="1">
      <c r="C607" s="70"/>
    </row>
    <row r="608" ht="15.75" customHeight="1">
      <c r="C608" s="70"/>
    </row>
    <row r="609" ht="15.75" customHeight="1">
      <c r="C609" s="70"/>
    </row>
    <row r="610" ht="15.75" customHeight="1">
      <c r="C610" s="70"/>
    </row>
    <row r="611" ht="15.75" customHeight="1">
      <c r="C611" s="70"/>
    </row>
    <row r="612" ht="15.75" customHeight="1">
      <c r="C612" s="70"/>
    </row>
    <row r="613" ht="15.75" customHeight="1">
      <c r="C613" s="70"/>
    </row>
    <row r="614" ht="15.75" customHeight="1">
      <c r="C614" s="70"/>
    </row>
    <row r="615" ht="15.75" customHeight="1">
      <c r="C615" s="70"/>
    </row>
    <row r="616" ht="15.75" customHeight="1">
      <c r="C616" s="70"/>
    </row>
    <row r="617" ht="15.75" customHeight="1">
      <c r="C617" s="70"/>
    </row>
    <row r="618" ht="15.75" customHeight="1">
      <c r="C618" s="70"/>
    </row>
    <row r="619" ht="15.75" customHeight="1">
      <c r="C619" s="70"/>
    </row>
    <row r="620" ht="15.75" customHeight="1">
      <c r="C620" s="70"/>
    </row>
    <row r="621" ht="15.75" customHeight="1">
      <c r="C621" s="70"/>
    </row>
    <row r="622" ht="15.75" customHeight="1">
      <c r="C622" s="70"/>
    </row>
    <row r="623" ht="15.75" customHeight="1">
      <c r="C623" s="70"/>
    </row>
    <row r="624" ht="15.75" customHeight="1">
      <c r="C624" s="70"/>
    </row>
    <row r="625" ht="15.75" customHeight="1">
      <c r="C625" s="70"/>
    </row>
    <row r="626" ht="15.75" customHeight="1">
      <c r="C626" s="70"/>
    </row>
    <row r="627" ht="15.75" customHeight="1">
      <c r="C627" s="70"/>
    </row>
    <row r="628" ht="15.75" customHeight="1">
      <c r="C628" s="70"/>
    </row>
    <row r="629" ht="15.75" customHeight="1">
      <c r="C629" s="70"/>
    </row>
    <row r="630" ht="15.75" customHeight="1">
      <c r="C630" s="70"/>
    </row>
    <row r="631" ht="15.75" customHeight="1">
      <c r="C631" s="70"/>
    </row>
    <row r="632" ht="15.75" customHeight="1">
      <c r="C632" s="70"/>
    </row>
    <row r="633" ht="15.75" customHeight="1">
      <c r="C633" s="70"/>
    </row>
    <row r="634" ht="15.75" customHeight="1">
      <c r="C634" s="70"/>
    </row>
    <row r="635" ht="15.75" customHeight="1">
      <c r="C635" s="70"/>
    </row>
    <row r="636" ht="15.75" customHeight="1">
      <c r="C636" s="70"/>
    </row>
    <row r="637" ht="15.75" customHeight="1">
      <c r="C637" s="70"/>
    </row>
    <row r="638" ht="15.75" customHeight="1">
      <c r="C638" s="70"/>
    </row>
    <row r="639" ht="15.75" customHeight="1">
      <c r="C639" s="70"/>
    </row>
    <row r="640" ht="15.75" customHeight="1">
      <c r="C640" s="70"/>
    </row>
    <row r="641" ht="15.75" customHeight="1">
      <c r="C641" s="70"/>
    </row>
    <row r="642" ht="15.75" customHeight="1">
      <c r="C642" s="70"/>
    </row>
    <row r="643" ht="15.75" customHeight="1">
      <c r="C643" s="70"/>
    </row>
    <row r="644" ht="15.75" customHeight="1">
      <c r="C644" s="70"/>
    </row>
    <row r="645" ht="15.75" customHeight="1">
      <c r="C645" s="70"/>
    </row>
    <row r="646" ht="15.75" customHeight="1">
      <c r="C646" s="70"/>
    </row>
    <row r="647" ht="15.75" customHeight="1">
      <c r="C647" s="70"/>
    </row>
    <row r="648" ht="15.75" customHeight="1">
      <c r="C648" s="70"/>
    </row>
    <row r="649" ht="15.75" customHeight="1">
      <c r="C649" s="70"/>
    </row>
    <row r="650" ht="15.75" customHeight="1">
      <c r="C650" s="70"/>
    </row>
    <row r="651" ht="15.75" customHeight="1">
      <c r="C651" s="70"/>
    </row>
    <row r="652" ht="15.75" customHeight="1">
      <c r="C652" s="70"/>
    </row>
    <row r="653" ht="15.75" customHeight="1">
      <c r="C653" s="70"/>
    </row>
    <row r="654" ht="15.75" customHeight="1">
      <c r="C654" s="70"/>
    </row>
    <row r="655" ht="15.75" customHeight="1">
      <c r="C655" s="70"/>
    </row>
    <row r="656" ht="15.75" customHeight="1">
      <c r="C656" s="70"/>
    </row>
    <row r="657" ht="15.75" customHeight="1">
      <c r="C657" s="70"/>
    </row>
    <row r="658" ht="15.75" customHeight="1">
      <c r="C658" s="70"/>
    </row>
    <row r="659" ht="15.75" customHeight="1">
      <c r="C659" s="70"/>
    </row>
    <row r="660" ht="15.75" customHeight="1">
      <c r="C660" s="70"/>
    </row>
    <row r="661" ht="15.75" customHeight="1">
      <c r="C661" s="70"/>
    </row>
    <row r="662" ht="15.75" customHeight="1">
      <c r="C662" s="70"/>
    </row>
    <row r="663" ht="15.75" customHeight="1">
      <c r="C663" s="70"/>
    </row>
    <row r="664" ht="15.75" customHeight="1">
      <c r="C664" s="70"/>
    </row>
    <row r="665" ht="15.75" customHeight="1">
      <c r="C665" s="70"/>
    </row>
    <row r="666" ht="15.75" customHeight="1">
      <c r="C666" s="70"/>
    </row>
    <row r="667" ht="15.75" customHeight="1">
      <c r="C667" s="70"/>
    </row>
    <row r="668" ht="15.75" customHeight="1">
      <c r="C668" s="70"/>
    </row>
    <row r="669" ht="15.75" customHeight="1">
      <c r="C669" s="70"/>
    </row>
    <row r="670" ht="15.75" customHeight="1">
      <c r="C670" s="70"/>
    </row>
    <row r="671" ht="15.75" customHeight="1">
      <c r="C671" s="70"/>
    </row>
    <row r="672" ht="15.75" customHeight="1">
      <c r="C672" s="70"/>
    </row>
    <row r="673" ht="15.75" customHeight="1">
      <c r="C673" s="70"/>
    </row>
    <row r="674" ht="15.75" customHeight="1">
      <c r="C674" s="70"/>
    </row>
    <row r="675" ht="15.75" customHeight="1">
      <c r="C675" s="70"/>
    </row>
    <row r="676" ht="15.75" customHeight="1">
      <c r="C676" s="70"/>
    </row>
    <row r="677" ht="15.75" customHeight="1">
      <c r="C677" s="70"/>
    </row>
    <row r="678" ht="15.75" customHeight="1">
      <c r="C678" s="70"/>
    </row>
    <row r="679" ht="15.75" customHeight="1">
      <c r="C679" s="70"/>
    </row>
    <row r="680" ht="15.75" customHeight="1">
      <c r="C680" s="70"/>
    </row>
    <row r="681" ht="15.75" customHeight="1">
      <c r="C681" s="70"/>
    </row>
    <row r="682" ht="15.75" customHeight="1">
      <c r="C682" s="70"/>
    </row>
    <row r="683" ht="15.75" customHeight="1">
      <c r="C683" s="70"/>
    </row>
    <row r="684" ht="15.75" customHeight="1">
      <c r="C684" s="70"/>
    </row>
    <row r="685" ht="15.75" customHeight="1">
      <c r="C685" s="70"/>
    </row>
    <row r="686" ht="15.75" customHeight="1">
      <c r="C686" s="70"/>
    </row>
    <row r="687" ht="15.75" customHeight="1">
      <c r="C687" s="70"/>
    </row>
    <row r="688" ht="15.75" customHeight="1">
      <c r="C688" s="70"/>
    </row>
    <row r="689" ht="15.75" customHeight="1">
      <c r="C689" s="70"/>
    </row>
    <row r="690" ht="15.75" customHeight="1">
      <c r="C690" s="70"/>
    </row>
    <row r="691" ht="15.75" customHeight="1">
      <c r="C691" s="70"/>
    </row>
    <row r="692" ht="15.75" customHeight="1">
      <c r="C692" s="70"/>
    </row>
    <row r="693" ht="15.75" customHeight="1">
      <c r="C693" s="70"/>
    </row>
    <row r="694" ht="15.75" customHeight="1">
      <c r="C694" s="70"/>
    </row>
    <row r="695" ht="15.75" customHeight="1">
      <c r="C695" s="70"/>
    </row>
    <row r="696" ht="15.75" customHeight="1">
      <c r="C696" s="70"/>
    </row>
    <row r="697" ht="15.75" customHeight="1">
      <c r="C697" s="70"/>
    </row>
    <row r="698" ht="15.75" customHeight="1">
      <c r="C698" s="70"/>
    </row>
    <row r="699" ht="15.75" customHeight="1">
      <c r="C699" s="70"/>
    </row>
    <row r="700" ht="15.75" customHeight="1">
      <c r="C700" s="70"/>
    </row>
    <row r="701" ht="15.75" customHeight="1">
      <c r="C701" s="70"/>
    </row>
    <row r="702" ht="15.75" customHeight="1">
      <c r="C702" s="70"/>
    </row>
    <row r="703" ht="15.75" customHeight="1">
      <c r="C703" s="70"/>
    </row>
    <row r="704" ht="15.75" customHeight="1">
      <c r="C704" s="70"/>
    </row>
    <row r="705" ht="15.75" customHeight="1">
      <c r="C705" s="70"/>
    </row>
    <row r="706" ht="15.75" customHeight="1">
      <c r="C706" s="70"/>
    </row>
    <row r="707" ht="15.75" customHeight="1">
      <c r="C707" s="70"/>
    </row>
    <row r="708" ht="15.75" customHeight="1">
      <c r="C708" s="70"/>
    </row>
    <row r="709" ht="15.75" customHeight="1">
      <c r="C709" s="70"/>
    </row>
    <row r="710" ht="15.75" customHeight="1">
      <c r="C710" s="70"/>
    </row>
    <row r="711" ht="15.75" customHeight="1">
      <c r="C711" s="70"/>
    </row>
    <row r="712" ht="15.75" customHeight="1">
      <c r="C712" s="70"/>
    </row>
    <row r="713" ht="15.75" customHeight="1">
      <c r="C713" s="70"/>
    </row>
    <row r="714" ht="15.75" customHeight="1">
      <c r="C714" s="70"/>
    </row>
    <row r="715" ht="15.75" customHeight="1">
      <c r="C715" s="70"/>
    </row>
    <row r="716" ht="15.75" customHeight="1">
      <c r="C716" s="70"/>
    </row>
    <row r="717" ht="15.75" customHeight="1">
      <c r="C717" s="70"/>
    </row>
    <row r="718" ht="15.75" customHeight="1">
      <c r="C718" s="70"/>
    </row>
    <row r="719" ht="15.75" customHeight="1">
      <c r="C719" s="70"/>
    </row>
    <row r="720" ht="15.75" customHeight="1">
      <c r="C720" s="70"/>
    </row>
    <row r="721" ht="15.75" customHeight="1">
      <c r="C721" s="70"/>
    </row>
    <row r="722" ht="15.75" customHeight="1">
      <c r="C722" s="70"/>
    </row>
    <row r="723" ht="15.75" customHeight="1">
      <c r="C723" s="70"/>
    </row>
    <row r="724" ht="15.75" customHeight="1">
      <c r="C724" s="70"/>
    </row>
    <row r="725" ht="15.75" customHeight="1">
      <c r="C725" s="70"/>
    </row>
    <row r="726" ht="15.75" customHeight="1">
      <c r="C726" s="70"/>
    </row>
    <row r="727" ht="15.75" customHeight="1">
      <c r="C727" s="70"/>
    </row>
    <row r="728" ht="15.75" customHeight="1">
      <c r="C728" s="70"/>
    </row>
    <row r="729" ht="15.75" customHeight="1">
      <c r="C729" s="70"/>
    </row>
    <row r="730" ht="15.75" customHeight="1">
      <c r="C730" s="70"/>
    </row>
    <row r="731" ht="15.75" customHeight="1">
      <c r="C731" s="70"/>
    </row>
    <row r="732" ht="15.75" customHeight="1">
      <c r="C732" s="70"/>
    </row>
    <row r="733" ht="15.75" customHeight="1">
      <c r="C733" s="70"/>
    </row>
    <row r="734" ht="15.75" customHeight="1">
      <c r="C734" s="70"/>
    </row>
    <row r="735" ht="15.75" customHeight="1">
      <c r="C735" s="70"/>
    </row>
    <row r="736" ht="15.75" customHeight="1">
      <c r="C736" s="70"/>
    </row>
    <row r="737" ht="15.75" customHeight="1">
      <c r="C737" s="70"/>
    </row>
    <row r="738" ht="15.75" customHeight="1">
      <c r="C738" s="70"/>
    </row>
    <row r="739" ht="15.75" customHeight="1">
      <c r="C739" s="70"/>
    </row>
    <row r="740" ht="15.75" customHeight="1">
      <c r="C740" s="70"/>
    </row>
    <row r="741" ht="15.75" customHeight="1">
      <c r="C741" s="70"/>
    </row>
    <row r="742" ht="15.75" customHeight="1">
      <c r="C742" s="70"/>
    </row>
    <row r="743" ht="15.75" customHeight="1">
      <c r="C743" s="70"/>
    </row>
    <row r="744" ht="15.75" customHeight="1">
      <c r="C744" s="70"/>
    </row>
    <row r="745" ht="15.75" customHeight="1">
      <c r="C745" s="70"/>
    </row>
    <row r="746" ht="15.75" customHeight="1">
      <c r="C746" s="70"/>
    </row>
    <row r="747" ht="15.75" customHeight="1">
      <c r="C747" s="70"/>
    </row>
    <row r="748" ht="15.75" customHeight="1">
      <c r="C748" s="70"/>
    </row>
    <row r="749" ht="15.75" customHeight="1">
      <c r="C749" s="70"/>
    </row>
    <row r="750" ht="15.75" customHeight="1">
      <c r="C750" s="70"/>
    </row>
    <row r="751" ht="15.75" customHeight="1">
      <c r="C751" s="70"/>
    </row>
    <row r="752" ht="15.75" customHeight="1">
      <c r="C752" s="70"/>
    </row>
    <row r="753" ht="15.75" customHeight="1">
      <c r="C753" s="70"/>
    </row>
    <row r="754" ht="15.75" customHeight="1">
      <c r="C754" s="70"/>
    </row>
    <row r="755" ht="15.75" customHeight="1">
      <c r="C755" s="70"/>
    </row>
    <row r="756" ht="15.75" customHeight="1">
      <c r="C756" s="70"/>
    </row>
    <row r="757" ht="15.75" customHeight="1">
      <c r="C757" s="70"/>
    </row>
    <row r="758" ht="15.75" customHeight="1">
      <c r="C758" s="70"/>
    </row>
    <row r="759" ht="15.75" customHeight="1">
      <c r="C759" s="70"/>
    </row>
    <row r="760" ht="15.75" customHeight="1">
      <c r="C760" s="70"/>
    </row>
    <row r="761" ht="15.75" customHeight="1">
      <c r="C761" s="70"/>
    </row>
    <row r="762" ht="15.75" customHeight="1">
      <c r="C762" s="70"/>
    </row>
    <row r="763" ht="15.75" customHeight="1">
      <c r="C763" s="70"/>
    </row>
    <row r="764" ht="15.75" customHeight="1">
      <c r="C764" s="70"/>
    </row>
    <row r="765" ht="15.75" customHeight="1">
      <c r="C765" s="70"/>
    </row>
    <row r="766" ht="15.75" customHeight="1">
      <c r="C766" s="70"/>
    </row>
    <row r="767" ht="15.75" customHeight="1">
      <c r="C767" s="70"/>
    </row>
    <row r="768" ht="15.75" customHeight="1">
      <c r="C768" s="70"/>
    </row>
    <row r="769" ht="15.75" customHeight="1">
      <c r="C769" s="70"/>
    </row>
    <row r="770" ht="15.75" customHeight="1">
      <c r="C770" s="70"/>
    </row>
    <row r="771" ht="15.75" customHeight="1">
      <c r="C771" s="70"/>
    </row>
    <row r="772" ht="15.75" customHeight="1">
      <c r="C772" s="70"/>
    </row>
    <row r="773" ht="15.75" customHeight="1">
      <c r="C773" s="70"/>
    </row>
    <row r="774" ht="15.75" customHeight="1">
      <c r="C774" s="70"/>
    </row>
    <row r="775" ht="15.75" customHeight="1">
      <c r="C775" s="70"/>
    </row>
    <row r="776" ht="15.75" customHeight="1">
      <c r="C776" s="70"/>
    </row>
    <row r="777" ht="15.75" customHeight="1">
      <c r="C777" s="70"/>
    </row>
    <row r="778" ht="15.75" customHeight="1">
      <c r="C778" s="70"/>
    </row>
    <row r="779" ht="15.75" customHeight="1">
      <c r="C779" s="70"/>
    </row>
    <row r="780" ht="15.75" customHeight="1">
      <c r="C780" s="70"/>
    </row>
    <row r="781" ht="15.75" customHeight="1">
      <c r="C781" s="70"/>
    </row>
    <row r="782" ht="15.75" customHeight="1">
      <c r="C782" s="70"/>
    </row>
    <row r="783" ht="15.75" customHeight="1">
      <c r="C783" s="70"/>
    </row>
    <row r="784" ht="15.75" customHeight="1">
      <c r="C784" s="70"/>
    </row>
    <row r="785" ht="15.75" customHeight="1">
      <c r="C785" s="70"/>
    </row>
    <row r="786" ht="15.75" customHeight="1">
      <c r="C786" s="70"/>
    </row>
    <row r="787" ht="15.75" customHeight="1">
      <c r="C787" s="70"/>
    </row>
    <row r="788" ht="15.75" customHeight="1">
      <c r="C788" s="70"/>
    </row>
    <row r="789" ht="15.75" customHeight="1">
      <c r="C789" s="70"/>
    </row>
    <row r="790" ht="15.75" customHeight="1">
      <c r="C790" s="70"/>
    </row>
    <row r="791" ht="15.75" customHeight="1">
      <c r="C791" s="70"/>
    </row>
    <row r="792" ht="15.75" customHeight="1">
      <c r="C792" s="70"/>
    </row>
    <row r="793" ht="15.75" customHeight="1">
      <c r="C793" s="70"/>
    </row>
    <row r="794" ht="15.75" customHeight="1">
      <c r="C794" s="70"/>
    </row>
    <row r="795" ht="15.75" customHeight="1">
      <c r="C795" s="70"/>
    </row>
    <row r="796" ht="15.75" customHeight="1">
      <c r="C796" s="70"/>
    </row>
    <row r="797" ht="15.75" customHeight="1">
      <c r="C797" s="70"/>
    </row>
    <row r="798" ht="15.75" customHeight="1">
      <c r="C798" s="70"/>
    </row>
    <row r="799" ht="15.75" customHeight="1">
      <c r="C799" s="70"/>
    </row>
    <row r="800" ht="15.75" customHeight="1">
      <c r="C800" s="70"/>
    </row>
    <row r="801" ht="15.75" customHeight="1">
      <c r="C801" s="70"/>
    </row>
    <row r="802" ht="15.75" customHeight="1">
      <c r="C802" s="70"/>
    </row>
    <row r="803" ht="15.75" customHeight="1">
      <c r="C803" s="70"/>
    </row>
    <row r="804" ht="15.75" customHeight="1">
      <c r="C804" s="70"/>
    </row>
    <row r="805" ht="15.75" customHeight="1">
      <c r="C805" s="70"/>
    </row>
    <row r="806" ht="15.75" customHeight="1">
      <c r="C806" s="70"/>
    </row>
    <row r="807" ht="15.75" customHeight="1">
      <c r="C807" s="70"/>
    </row>
    <row r="808" ht="15.75" customHeight="1">
      <c r="C808" s="70"/>
    </row>
    <row r="809" ht="15.75" customHeight="1">
      <c r="C809" s="70"/>
    </row>
    <row r="810" ht="15.75" customHeight="1">
      <c r="C810" s="70"/>
    </row>
    <row r="811" ht="15.75" customHeight="1">
      <c r="C811" s="70"/>
    </row>
    <row r="812" ht="15.75" customHeight="1">
      <c r="C812" s="70"/>
    </row>
    <row r="813" ht="15.75" customHeight="1">
      <c r="C813" s="70"/>
    </row>
    <row r="814" ht="15.75" customHeight="1">
      <c r="C814" s="70"/>
    </row>
    <row r="815" ht="15.75" customHeight="1">
      <c r="C815" s="70"/>
    </row>
    <row r="816" ht="15.75" customHeight="1">
      <c r="C816" s="70"/>
    </row>
    <row r="817" ht="15.75" customHeight="1">
      <c r="C817" s="70"/>
    </row>
    <row r="818" ht="15.75" customHeight="1">
      <c r="C818" s="70"/>
    </row>
    <row r="819" ht="15.75" customHeight="1">
      <c r="C819" s="70"/>
    </row>
    <row r="820" ht="15.75" customHeight="1">
      <c r="C820" s="70"/>
    </row>
    <row r="821" ht="15.75" customHeight="1">
      <c r="C821" s="70"/>
    </row>
    <row r="822" ht="15.75" customHeight="1">
      <c r="C822" s="70"/>
    </row>
    <row r="823" ht="15.75" customHeight="1">
      <c r="C823" s="70"/>
    </row>
    <row r="824" ht="15.75" customHeight="1">
      <c r="C824" s="70"/>
    </row>
    <row r="825" ht="15.75" customHeight="1">
      <c r="C825" s="70"/>
    </row>
    <row r="826" ht="15.75" customHeight="1">
      <c r="C826" s="70"/>
    </row>
    <row r="827" ht="15.75" customHeight="1">
      <c r="C827" s="70"/>
    </row>
    <row r="828" ht="15.75" customHeight="1">
      <c r="C828" s="70"/>
    </row>
    <row r="829" ht="15.75" customHeight="1">
      <c r="C829" s="70"/>
    </row>
    <row r="830" ht="15.75" customHeight="1">
      <c r="C830" s="70"/>
    </row>
    <row r="831" ht="15.75" customHeight="1">
      <c r="C831" s="70"/>
    </row>
    <row r="832" ht="15.75" customHeight="1">
      <c r="C832" s="70"/>
    </row>
    <row r="833" ht="15.75" customHeight="1">
      <c r="C833" s="70"/>
    </row>
    <row r="834" ht="15.75" customHeight="1">
      <c r="C834" s="70"/>
    </row>
    <row r="835" ht="15.75" customHeight="1">
      <c r="C835" s="70"/>
    </row>
    <row r="836" ht="15.75" customHeight="1">
      <c r="C836" s="70"/>
    </row>
    <row r="837" ht="15.75" customHeight="1">
      <c r="C837" s="70"/>
    </row>
    <row r="838" ht="15.75" customHeight="1">
      <c r="C838" s="70"/>
    </row>
    <row r="839" ht="15.75" customHeight="1">
      <c r="C839" s="70"/>
    </row>
    <row r="840" ht="15.75" customHeight="1">
      <c r="C840" s="70"/>
    </row>
    <row r="841" ht="15.75" customHeight="1">
      <c r="C841" s="70"/>
    </row>
    <row r="842" ht="15.75" customHeight="1">
      <c r="C842" s="70"/>
    </row>
    <row r="843" ht="15.75" customHeight="1">
      <c r="C843" s="70"/>
    </row>
    <row r="844" ht="15.75" customHeight="1">
      <c r="C844" s="70"/>
    </row>
    <row r="845" ht="15.75" customHeight="1">
      <c r="C845" s="70"/>
    </row>
    <row r="846" ht="15.75" customHeight="1">
      <c r="C846" s="70"/>
    </row>
    <row r="847" ht="15.75" customHeight="1">
      <c r="C847" s="70"/>
    </row>
    <row r="848" ht="15.75" customHeight="1">
      <c r="C848" s="70"/>
    </row>
    <row r="849" ht="15.75" customHeight="1">
      <c r="C849" s="70"/>
    </row>
    <row r="850" ht="15.75" customHeight="1">
      <c r="C850" s="70"/>
    </row>
    <row r="851" ht="15.75" customHeight="1">
      <c r="C851" s="70"/>
    </row>
    <row r="852" ht="15.75" customHeight="1">
      <c r="C852" s="70"/>
    </row>
    <row r="853" ht="15.75" customHeight="1">
      <c r="C853" s="70"/>
    </row>
    <row r="854" ht="15.75" customHeight="1">
      <c r="C854" s="70"/>
    </row>
    <row r="855" ht="15.75" customHeight="1">
      <c r="C855" s="70"/>
    </row>
    <row r="856" ht="15.75" customHeight="1">
      <c r="C856" s="70"/>
    </row>
    <row r="857" ht="15.75" customHeight="1">
      <c r="C857" s="70"/>
    </row>
    <row r="858" ht="15.75" customHeight="1">
      <c r="C858" s="70"/>
    </row>
    <row r="859" ht="15.75" customHeight="1">
      <c r="C859" s="70"/>
    </row>
    <row r="860" ht="15.75" customHeight="1">
      <c r="C860" s="70"/>
    </row>
    <row r="861" ht="15.75" customHeight="1">
      <c r="C861" s="70"/>
    </row>
    <row r="862" ht="15.75" customHeight="1">
      <c r="C862" s="70"/>
    </row>
    <row r="863" ht="15.75" customHeight="1">
      <c r="C863" s="70"/>
    </row>
    <row r="864" ht="15.75" customHeight="1">
      <c r="C864" s="70"/>
    </row>
    <row r="865" ht="15.75" customHeight="1">
      <c r="C865" s="70"/>
    </row>
    <row r="866" ht="15.75" customHeight="1">
      <c r="C866" s="70"/>
    </row>
    <row r="867" ht="15.75" customHeight="1">
      <c r="C867" s="70"/>
    </row>
    <row r="868" ht="15.75" customHeight="1">
      <c r="C868" s="70"/>
    </row>
    <row r="869" ht="15.75" customHeight="1">
      <c r="C869" s="70"/>
    </row>
    <row r="870" ht="15.75" customHeight="1">
      <c r="C870" s="70"/>
    </row>
    <row r="871" ht="15.75" customHeight="1">
      <c r="C871" s="70"/>
    </row>
    <row r="872" ht="15.75" customHeight="1">
      <c r="C872" s="70"/>
    </row>
    <row r="873" ht="15.75" customHeight="1">
      <c r="C873" s="70"/>
    </row>
    <row r="874" ht="15.75" customHeight="1">
      <c r="C874" s="70"/>
    </row>
    <row r="875" ht="15.75" customHeight="1">
      <c r="C875" s="70"/>
    </row>
    <row r="876" ht="15.75" customHeight="1">
      <c r="C876" s="70"/>
    </row>
    <row r="877" ht="15.75" customHeight="1">
      <c r="C877" s="70"/>
    </row>
    <row r="878" ht="15.75" customHeight="1">
      <c r="C878" s="70"/>
    </row>
    <row r="879" ht="15.75" customHeight="1">
      <c r="C879" s="70"/>
    </row>
    <row r="880" ht="15.75" customHeight="1">
      <c r="C880" s="70"/>
    </row>
    <row r="881" ht="15.75" customHeight="1">
      <c r="C881" s="70"/>
    </row>
    <row r="882" ht="15.75" customHeight="1">
      <c r="C882" s="70"/>
    </row>
    <row r="883" ht="15.75" customHeight="1">
      <c r="C883" s="70"/>
    </row>
    <row r="884" ht="15.75" customHeight="1">
      <c r="C884" s="70"/>
    </row>
    <row r="885" ht="15.75" customHeight="1">
      <c r="C885" s="70"/>
    </row>
    <row r="886" ht="15.75" customHeight="1">
      <c r="C886" s="70"/>
    </row>
    <row r="887" ht="15.75" customHeight="1">
      <c r="C887" s="70"/>
    </row>
    <row r="888" ht="15.75" customHeight="1">
      <c r="C888" s="70"/>
    </row>
    <row r="889" ht="15.75" customHeight="1">
      <c r="C889" s="70"/>
    </row>
    <row r="890" ht="15.75" customHeight="1">
      <c r="C890" s="70"/>
    </row>
    <row r="891" ht="15.75" customHeight="1">
      <c r="C891" s="70"/>
    </row>
    <row r="892" ht="15.75" customHeight="1">
      <c r="C892" s="70"/>
    </row>
    <row r="893" ht="15.75" customHeight="1">
      <c r="C893" s="70"/>
    </row>
    <row r="894" ht="15.75" customHeight="1">
      <c r="C894" s="70"/>
    </row>
    <row r="895" ht="15.75" customHeight="1">
      <c r="C895" s="70"/>
    </row>
    <row r="896" ht="15.75" customHeight="1">
      <c r="C896" s="70"/>
    </row>
    <row r="897" ht="15.75" customHeight="1">
      <c r="C897" s="70"/>
    </row>
    <row r="898" ht="15.75" customHeight="1">
      <c r="C898" s="70"/>
    </row>
    <row r="899" ht="15.75" customHeight="1">
      <c r="C899" s="70"/>
    </row>
    <row r="900" ht="15.75" customHeight="1">
      <c r="C900" s="70"/>
    </row>
    <row r="901" ht="15.75" customHeight="1">
      <c r="C901" s="70"/>
    </row>
    <row r="902" ht="15.75" customHeight="1">
      <c r="C902" s="70"/>
    </row>
    <row r="903" ht="15.75" customHeight="1">
      <c r="C903" s="70"/>
    </row>
    <row r="904" ht="15.75" customHeight="1">
      <c r="C904" s="70"/>
    </row>
    <row r="905" ht="15.75" customHeight="1">
      <c r="C905" s="70"/>
    </row>
    <row r="906" ht="15.75" customHeight="1">
      <c r="C906" s="70"/>
    </row>
    <row r="907" ht="15.75" customHeight="1">
      <c r="C907" s="70"/>
    </row>
    <row r="908" ht="15.75" customHeight="1">
      <c r="C908" s="70"/>
    </row>
    <row r="909" ht="15.75" customHeight="1">
      <c r="C909" s="70"/>
    </row>
    <row r="910" ht="15.75" customHeight="1">
      <c r="C910" s="70"/>
    </row>
    <row r="911" ht="15.75" customHeight="1">
      <c r="C911" s="70"/>
    </row>
    <row r="912" ht="15.75" customHeight="1">
      <c r="C912" s="70"/>
    </row>
    <row r="913" ht="15.75" customHeight="1">
      <c r="C913" s="70"/>
    </row>
    <row r="914" ht="15.75" customHeight="1">
      <c r="C914" s="70"/>
    </row>
    <row r="915" ht="15.75" customHeight="1">
      <c r="C915" s="70"/>
    </row>
    <row r="916" ht="15.75" customHeight="1">
      <c r="C916" s="70"/>
    </row>
    <row r="917" ht="15.75" customHeight="1">
      <c r="C917" s="70"/>
    </row>
    <row r="918" ht="15.75" customHeight="1">
      <c r="C918" s="70"/>
    </row>
    <row r="919" ht="15.75" customHeight="1">
      <c r="C919" s="70"/>
    </row>
    <row r="920" ht="15.75" customHeight="1">
      <c r="C920" s="70"/>
    </row>
    <row r="921" ht="15.75" customHeight="1">
      <c r="C921" s="70"/>
    </row>
    <row r="922" ht="15.75" customHeight="1">
      <c r="C922" s="70"/>
    </row>
    <row r="923" ht="15.75" customHeight="1">
      <c r="C923" s="70"/>
    </row>
    <row r="924" ht="15.75" customHeight="1">
      <c r="C924" s="70"/>
    </row>
    <row r="925" ht="15.75" customHeight="1">
      <c r="C925" s="70"/>
    </row>
    <row r="926" ht="15.75" customHeight="1">
      <c r="C926" s="70"/>
    </row>
    <row r="927" ht="15.75" customHeight="1">
      <c r="C927" s="70"/>
    </row>
    <row r="928" ht="15.75" customHeight="1">
      <c r="C928" s="70"/>
    </row>
    <row r="929" ht="15.75" customHeight="1">
      <c r="C929" s="70"/>
    </row>
    <row r="930" ht="15.75" customHeight="1">
      <c r="C930" s="70"/>
    </row>
    <row r="931" ht="15.75" customHeight="1">
      <c r="C931" s="70"/>
    </row>
    <row r="932" ht="15.75" customHeight="1">
      <c r="C932" s="70"/>
    </row>
    <row r="933" ht="15.75" customHeight="1">
      <c r="C933" s="70"/>
    </row>
    <row r="934" ht="15.75" customHeight="1">
      <c r="C934" s="70"/>
    </row>
    <row r="935" ht="15.75" customHeight="1">
      <c r="C935" s="70"/>
    </row>
    <row r="936" ht="15.75" customHeight="1">
      <c r="C936" s="70"/>
    </row>
    <row r="937" ht="15.75" customHeight="1">
      <c r="C937" s="70"/>
    </row>
    <row r="938" ht="15.75" customHeight="1">
      <c r="C938" s="70"/>
    </row>
    <row r="939" ht="15.75" customHeight="1">
      <c r="C939" s="70"/>
    </row>
    <row r="940" ht="15.75" customHeight="1">
      <c r="C940" s="70"/>
    </row>
    <row r="941" ht="15.75" customHeight="1">
      <c r="C941" s="70"/>
    </row>
    <row r="942" ht="15.75" customHeight="1">
      <c r="C942" s="70"/>
    </row>
    <row r="943" ht="15.75" customHeight="1">
      <c r="C943" s="70"/>
    </row>
    <row r="944" ht="15.75" customHeight="1">
      <c r="C944" s="70"/>
    </row>
    <row r="945" ht="15.75" customHeight="1">
      <c r="C945" s="70"/>
    </row>
    <row r="946" ht="15.75" customHeight="1">
      <c r="C946" s="70"/>
    </row>
    <row r="947" ht="15.75" customHeight="1">
      <c r="C947" s="70"/>
    </row>
    <row r="948" ht="15.75" customHeight="1">
      <c r="C948" s="70"/>
    </row>
    <row r="949" ht="15.75" customHeight="1">
      <c r="C949" s="70"/>
    </row>
    <row r="950" ht="15.75" customHeight="1">
      <c r="C950" s="70"/>
    </row>
    <row r="951" ht="15.75" customHeight="1">
      <c r="C951" s="70"/>
    </row>
    <row r="952" ht="15.75" customHeight="1">
      <c r="C952" s="70"/>
    </row>
    <row r="953" ht="15.75" customHeight="1">
      <c r="C953" s="70"/>
    </row>
    <row r="954" ht="15.75" customHeight="1">
      <c r="C954" s="70"/>
    </row>
    <row r="955" ht="15.75" customHeight="1">
      <c r="C955" s="70"/>
    </row>
    <row r="956" ht="15.75" customHeight="1">
      <c r="C956" s="70"/>
    </row>
    <row r="957" ht="15.75" customHeight="1">
      <c r="C957" s="70"/>
    </row>
    <row r="958" ht="15.75" customHeight="1">
      <c r="C958" s="70"/>
    </row>
    <row r="959" ht="15.75" customHeight="1">
      <c r="C959" s="70"/>
    </row>
    <row r="960" ht="15.75" customHeight="1">
      <c r="C960" s="70"/>
    </row>
    <row r="961" ht="15.75" customHeight="1">
      <c r="C961" s="70"/>
    </row>
    <row r="962" ht="15.75" customHeight="1">
      <c r="C962" s="70"/>
    </row>
    <row r="963" ht="15.75" customHeight="1">
      <c r="C963" s="70"/>
    </row>
    <row r="964" ht="15.75" customHeight="1">
      <c r="C964" s="70"/>
    </row>
    <row r="965" ht="15.75" customHeight="1">
      <c r="C965" s="70"/>
    </row>
    <row r="966" ht="15.75" customHeight="1">
      <c r="C966" s="70"/>
    </row>
    <row r="967" ht="15.75" customHeight="1">
      <c r="C967" s="70"/>
    </row>
    <row r="968" ht="15.75" customHeight="1">
      <c r="C968" s="70"/>
    </row>
    <row r="969" ht="15.75" customHeight="1">
      <c r="C969" s="70"/>
    </row>
    <row r="970" ht="15.75" customHeight="1">
      <c r="C970" s="70"/>
    </row>
    <row r="971" ht="15.75" customHeight="1">
      <c r="C971" s="70"/>
    </row>
    <row r="972" ht="15.75" customHeight="1">
      <c r="C972" s="70"/>
    </row>
    <row r="973" ht="15.75" customHeight="1">
      <c r="C973" s="70"/>
    </row>
    <row r="974" ht="15.75" customHeight="1">
      <c r="C974" s="70"/>
    </row>
    <row r="975" ht="15.75" customHeight="1">
      <c r="C975" s="70"/>
    </row>
    <row r="976" ht="15.75" customHeight="1">
      <c r="C976" s="70"/>
    </row>
    <row r="977" ht="15.75" customHeight="1">
      <c r="C977" s="70"/>
    </row>
    <row r="978" ht="15.75" customHeight="1">
      <c r="C978" s="70"/>
    </row>
    <row r="979" ht="15.75" customHeight="1">
      <c r="C979" s="70"/>
    </row>
    <row r="980" ht="15.75" customHeight="1">
      <c r="C980" s="70"/>
    </row>
    <row r="981" ht="15.75" customHeight="1">
      <c r="C981" s="70"/>
    </row>
    <row r="982" ht="15.75" customHeight="1">
      <c r="C982" s="70"/>
    </row>
    <row r="983" ht="15.75" customHeight="1">
      <c r="C983" s="70"/>
    </row>
    <row r="984" ht="15.75" customHeight="1">
      <c r="C984" s="70"/>
    </row>
    <row r="985" ht="15.75" customHeight="1">
      <c r="C985" s="70"/>
    </row>
    <row r="986" ht="15.75" customHeight="1">
      <c r="C986" s="70"/>
    </row>
    <row r="987" ht="15.75" customHeight="1">
      <c r="C987" s="70"/>
    </row>
    <row r="988" ht="15.75" customHeight="1">
      <c r="C988" s="70"/>
    </row>
    <row r="989" ht="15.75" customHeight="1">
      <c r="C989" s="70"/>
    </row>
    <row r="990" ht="15.75" customHeight="1">
      <c r="C990" s="70"/>
    </row>
    <row r="991" ht="15.75" customHeight="1">
      <c r="C991" s="70"/>
    </row>
    <row r="992" ht="15.75" customHeight="1">
      <c r="C992" s="70"/>
    </row>
    <row r="993" ht="15.75" customHeight="1">
      <c r="C993" s="70"/>
    </row>
    <row r="994" ht="15.75" customHeight="1">
      <c r="C994" s="70"/>
    </row>
    <row r="995" ht="15.75" customHeight="1">
      <c r="C995" s="70"/>
    </row>
    <row r="996" ht="15.75" customHeight="1">
      <c r="C996" s="70"/>
    </row>
    <row r="997" ht="15.75" customHeight="1">
      <c r="C997" s="70"/>
    </row>
    <row r="998" ht="15.75" customHeight="1">
      <c r="C998" s="70"/>
    </row>
    <row r="999" ht="15.75" customHeight="1">
      <c r="C999" s="70"/>
    </row>
    <row r="1000" ht="15.75" customHeight="1">
      <c r="C1000" s="7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2015-02-02T06:27:58Z</dcterms:created>
  <dc:creator>Ben</dc:creator>
</cp:coreProperties>
</file>