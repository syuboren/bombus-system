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 Log" sheetId="1" state="visible" r:id="rId1"/>
    <sheet xmlns:r="http://schemas.openxmlformats.org/officeDocument/2006/relationships" name="統計儀表板" sheetId="2" state="visible" r:id="rId2"/>
    <sheet xmlns:r="http://schemas.openxmlformats.org/officeDocument/2006/relationships" name="使用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軟正黑體"/>
      <b val="1"/>
      <color rgb="004A6359"/>
      <sz val="18"/>
    </font>
    <font>
      <name val="微軟正黑體"/>
      <i val="1"/>
      <color rgb="006B6B6B"/>
      <sz val="10"/>
    </font>
    <font>
      <name val="微軟正黑體"/>
      <b val="1"/>
      <color rgb="00FFFFFF"/>
      <sz val="11"/>
    </font>
    <font>
      <name val="微軟正黑體"/>
      <color rgb="00333333"/>
      <sz val="10"/>
    </font>
    <font>
      <name val="微軟正黑體"/>
      <b val="1"/>
      <color rgb="00FFFFFF"/>
      <sz val="13"/>
    </font>
    <font>
      <name val="微軟正黑體"/>
      <b val="1"/>
      <color rgb="004A6359"/>
      <sz val="11"/>
    </font>
    <font>
      <name val="微軟正黑體"/>
      <b val="1"/>
      <color rgb="004A6359"/>
      <sz val="20"/>
    </font>
    <font>
      <name val="微軟正黑體"/>
      <color rgb="006B6B6B"/>
      <sz val="9"/>
    </font>
  </fonts>
  <fills count="7">
    <fill>
      <patternFill/>
    </fill>
    <fill>
      <patternFill patternType="gray125"/>
    </fill>
    <fill>
      <patternFill patternType="solid">
        <fgColor rgb="00E8EFEC"/>
      </patternFill>
    </fill>
    <fill>
      <patternFill patternType="solid">
        <fgColor rgb="008DA399"/>
      </patternFill>
    </fill>
    <fill>
      <patternFill patternType="solid">
        <fgColor rgb="00F7F4F1"/>
      </patternFill>
    </fill>
    <fill>
      <patternFill patternType="solid">
        <fgColor rgb="00FFFFFF"/>
      </patternFill>
    </fill>
    <fill>
      <patternFill patternType="solid">
        <fgColor rgb="004A6359"/>
      </patternFill>
    </fill>
  </fills>
  <borders count="5">
    <border>
      <left/>
      <right/>
      <top/>
      <bottom/>
      <diagonal/>
    </border>
    <border>
      <left style="thin">
        <color rgb="00C9D3CE"/>
      </left>
      <right style="thin">
        <color rgb="00C9D3CE"/>
      </right>
      <top style="thin">
        <color rgb="00C9D3CE"/>
      </top>
      <bottom style="thin">
        <color rgb="00C9D3CE"/>
      </bottom>
    </border>
    <border>
      <left/>
      <right/>
      <top style="thin">
        <color rgb="00C9D3CE"/>
      </top>
      <bottom/>
      <diagonal/>
    </border>
    <border>
      <left/>
      <right style="thin">
        <color rgb="00C9D3CE"/>
      </right>
      <top style="thin">
        <color rgb="00C9D3CE"/>
      </top>
      <bottom/>
      <diagonal/>
    </border>
    <border>
      <left/>
      <right style="thin">
        <color rgb="00C9D3CE"/>
      </right>
      <top style="thin">
        <color rgb="00C9D3CE"/>
      </top>
      <bottom style="thin">
        <color rgb="00C9D3CE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 indent="1"/>
    </xf>
    <xf numFmtId="0" fontId="5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4">
    <dxf>
      <font>
        <name val="微軟正黑體"/>
        <b val="1"/>
        <color rgb="004A6359"/>
        <sz val="10"/>
      </font>
      <fill>
        <patternFill patternType="solid">
          <fgColor rgb="00D5E4DC"/>
        </patternFill>
      </fill>
    </dxf>
    <dxf>
      <font>
        <name val="微軟正黑體"/>
        <b val="1"/>
        <color rgb="00B85C00"/>
        <sz val="10"/>
      </font>
      <fill>
        <patternFill patternType="solid">
          <fgColor rgb="00FAE8DC"/>
        </patternFill>
      </fill>
    </dxf>
    <dxf>
      <font>
        <name val="微軟正黑體"/>
        <b val="1"/>
        <color rgb="008A6D00"/>
        <sz val="10"/>
      </font>
      <fill>
        <patternFill patternType="solid">
          <fgColor rgb="00FAF4E0"/>
        </patternFill>
      </fill>
    </dxf>
    <dxf>
      <font>
        <name val="微軟正黑體"/>
        <i val="1"/>
        <color rgb="006B6B6B"/>
        <sz val="10"/>
      </font>
      <fill>
        <patternFill patternType="solid">
          <fgColor rgb="00EAEA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0" customWidth="1" min="4" max="4"/>
    <col width="14" customWidth="1" min="5" max="5"/>
    <col width="12" customWidth="1" min="6" max="6"/>
    <col width="14" customWidth="1" min="7" max="7"/>
    <col width="10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6" customHeight="1">
      <c r="A1" s="1" t="inlineStr">
        <is>
          <t>Bombus｜需求變更登錄表（CR Log）</t>
        </is>
      </c>
    </row>
    <row r="2" ht="22" customHeight="1">
      <c r="A2" s="2" t="inlineStr">
        <is>
          <t>所有變更請求集中追蹤：每週同步會議檢視 pending 項目，控管累積成本</t>
        </is>
      </c>
    </row>
    <row r="3" ht="8" customHeight="1"/>
    <row r="4" ht="32" customHeight="1">
      <c r="A4" s="3" t="inlineStr">
        <is>
          <t>CR 編號</t>
        </is>
      </c>
      <c r="B4" s="3" t="inlineStr">
        <is>
          <t>提出日</t>
        </is>
      </c>
      <c r="C4" s="3" t="inlineStr">
        <is>
          <t>關聯模組</t>
        </is>
      </c>
      <c r="D4" s="3" t="inlineStr">
        <is>
          <t>變更標題</t>
        </is>
      </c>
      <c r="E4" s="3" t="inlineStr">
        <is>
          <t>變更類型</t>
        </is>
      </c>
      <c r="F4" s="3" t="inlineStr">
        <is>
          <t>緊急程度</t>
        </is>
      </c>
      <c r="G4" s="3" t="inlineStr">
        <is>
          <t>狀態</t>
        </is>
      </c>
      <c r="H4" s="3" t="inlineStr">
        <is>
          <t>CR 點數</t>
        </is>
      </c>
      <c r="I4" s="3" t="inlineStr">
        <is>
          <t>費用 (NT$)</t>
        </is>
      </c>
      <c r="J4" s="3" t="inlineStr">
        <is>
          <t>原交付日</t>
        </is>
      </c>
      <c r="K4" s="3" t="inlineStr">
        <is>
          <t>新交付日</t>
        </is>
      </c>
      <c r="L4" s="3" t="inlineStr">
        <is>
          <t>簽核日</t>
        </is>
      </c>
      <c r="M4" s="3" t="inlineStr">
        <is>
          <t>完成日</t>
        </is>
      </c>
    </row>
    <row r="5" ht="28" customHeight="1">
      <c r="A5" s="4" t="inlineStr">
        <is>
          <t>CR-2026-001</t>
        </is>
      </c>
      <c r="B5" s="4" t="inlineStr">
        <is>
          <t>2026/04/10</t>
        </is>
      </c>
      <c r="C5" s="4" t="inlineStr">
        <is>
          <t>人才晉升模組</t>
        </is>
      </c>
      <c r="D5" s="5" t="inlineStr">
        <is>
          <t>晉升委員會新增 HR 副理為固定觀察員</t>
        </is>
      </c>
      <c r="E5" s="4" t="inlineStr">
        <is>
          <t>流程順序調整</t>
        </is>
      </c>
      <c r="F5" s="4" t="inlineStr">
        <is>
          <t>下個 Sprint</t>
        </is>
      </c>
      <c r="G5" s="4" t="inlineStr">
        <is>
          <t>已完成</t>
        </is>
      </c>
      <c r="H5" s="4" t="n">
        <v>1</v>
      </c>
      <c r="I5" s="4" t="n">
        <v>15000</v>
      </c>
      <c r="J5" s="4" t="inlineStr">
        <is>
          <t>2026/05/01</t>
        </is>
      </c>
      <c r="K5" s="4" t="inlineStr">
        <is>
          <t>2026/05/03</t>
        </is>
      </c>
      <c r="L5" s="4" t="inlineStr">
        <is>
          <t>2026/04/15</t>
        </is>
      </c>
      <c r="M5" s="4" t="inlineStr">
        <is>
          <t>2026/05/03</t>
        </is>
      </c>
    </row>
    <row r="6" ht="28" customHeight="1">
      <c r="A6" s="6" t="inlineStr">
        <is>
          <t>CR-2026-002</t>
        </is>
      </c>
      <c r="B6" s="6" t="inlineStr">
        <is>
          <t>2026/04/18</t>
        </is>
      </c>
      <c r="C6" s="6" t="inlineStr">
        <is>
          <t>績效管理模組</t>
        </is>
      </c>
      <c r="D6" s="7" t="inlineStr">
        <is>
          <t>評核表新增「跨部門協作」評分維度</t>
        </is>
      </c>
      <c r="E6" s="6" t="inlineStr">
        <is>
          <t>新增功能</t>
        </is>
      </c>
      <c r="F6" s="6" t="inlineStr">
        <is>
          <t>可彈性安排</t>
        </is>
      </c>
      <c r="G6" s="6" t="inlineStr">
        <is>
          <t>評估中</t>
        </is>
      </c>
      <c r="H6" s="6" t="n">
        <v>3</v>
      </c>
      <c r="I6" s="6" t="n">
        <v>45000</v>
      </c>
      <c r="J6" s="6" t="inlineStr">
        <is>
          <t>2026/05/10</t>
        </is>
      </c>
      <c r="K6" s="6" t="inlineStr"/>
      <c r="L6" s="6" t="inlineStr"/>
      <c r="M6" s="6" t="inlineStr"/>
    </row>
    <row r="7" ht="28" customHeight="1">
      <c r="A7" s="4" t="inlineStr">
        <is>
          <t>CR-2026-003</t>
        </is>
      </c>
      <c r="B7" s="4" t="inlineStr">
        <is>
          <t>2026/04/22</t>
        </is>
      </c>
      <c r="C7" s="4" t="inlineStr">
        <is>
          <t>員工檔案模組</t>
        </is>
      </c>
      <c r="D7" s="5" t="inlineStr">
        <is>
          <t>員工離職流程支援多階段回收簽核</t>
        </is>
      </c>
      <c r="E7" s="4" t="inlineStr">
        <is>
          <t>流程順序調整</t>
        </is>
      </c>
      <c r="F7" s="4" t="inlineStr">
        <is>
          <t>立即處理</t>
        </is>
      </c>
      <c r="G7" s="4" t="inlineStr">
        <is>
          <t>客戶簽核中</t>
        </is>
      </c>
      <c r="H7" s="4" t="n">
        <v>8</v>
      </c>
      <c r="I7" s="4" t="n">
        <v>120000</v>
      </c>
      <c r="J7" s="4" t="inlineStr">
        <is>
          <t>2026/05/15</t>
        </is>
      </c>
      <c r="K7" s="4" t="inlineStr">
        <is>
          <t>2026/05/25</t>
        </is>
      </c>
      <c r="L7" s="4" t="inlineStr"/>
      <c r="M7" s="4" t="inlineStr"/>
    </row>
    <row r="8" ht="24" customHeight="1">
      <c r="A8" s="6" t="n"/>
      <c r="B8" s="6" t="n"/>
      <c r="C8" s="6" t="n"/>
      <c r="D8" s="7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 ht="24" customHeight="1">
      <c r="A9" s="4" t="n"/>
      <c r="B9" s="4" t="n"/>
      <c r="C9" s="4" t="n"/>
      <c r="D9" s="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 ht="24" customHeight="1">
      <c r="A10" s="6" t="n"/>
      <c r="B10" s="6" t="n"/>
      <c r="C10" s="6" t="n"/>
      <c r="D10" s="7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24" customHeight="1">
      <c r="A11" s="4" t="n"/>
      <c r="B11" s="4" t="n"/>
      <c r="C11" s="4" t="n"/>
      <c r="D11" s="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 ht="24" customHeight="1">
      <c r="A12" s="6" t="n"/>
      <c r="B12" s="6" t="n"/>
      <c r="C12" s="6" t="n"/>
      <c r="D12" s="7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 ht="24" customHeight="1">
      <c r="A13" s="4" t="n"/>
      <c r="B13" s="4" t="n"/>
      <c r="C13" s="4" t="n"/>
      <c r="D13" s="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24" customHeight="1">
      <c r="A14" s="6" t="n"/>
      <c r="B14" s="6" t="n"/>
      <c r="C14" s="6" t="n"/>
      <c r="D14" s="7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 ht="24" customHeight="1">
      <c r="A15" s="4" t="n"/>
      <c r="B15" s="4" t="n"/>
      <c r="C15" s="4" t="n"/>
      <c r="D15" s="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24" customHeight="1">
      <c r="A16" s="6" t="n"/>
      <c r="B16" s="6" t="n"/>
      <c r="C16" s="6" t="n"/>
      <c r="D16" s="7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24" customHeight="1">
      <c r="A17" s="4" t="n"/>
      <c r="B17" s="4" t="n"/>
      <c r="C17" s="4" t="n"/>
      <c r="D17" s="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 ht="24" customHeight="1">
      <c r="A18" s="6" t="n"/>
      <c r="B18" s="6" t="n"/>
      <c r="C18" s="6" t="n"/>
      <c r="D18" s="7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24" customHeight="1">
      <c r="A19" s="4" t="n"/>
      <c r="B19" s="4" t="n"/>
      <c r="C19" s="4" t="n"/>
      <c r="D19" s="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24" customHeight="1">
      <c r="A20" s="6" t="n"/>
      <c r="B20" s="6" t="n"/>
      <c r="C20" s="6" t="n"/>
      <c r="D20" s="7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24" customHeight="1">
      <c r="A21" s="4" t="n"/>
      <c r="B21" s="4" t="n"/>
      <c r="C21" s="4" t="n"/>
      <c r="D21" s="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 ht="24" customHeight="1">
      <c r="A22" s="6" t="n"/>
      <c r="B22" s="6" t="n"/>
      <c r="C22" s="6" t="n"/>
      <c r="D22" s="7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 ht="24" customHeight="1">
      <c r="A23" s="4" t="n"/>
      <c r="B23" s="4" t="n"/>
      <c r="C23" s="4" t="n"/>
      <c r="D23" s="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24" customHeight="1">
      <c r="A24" s="6" t="n"/>
      <c r="B24" s="6" t="n"/>
      <c r="C24" s="6" t="n"/>
      <c r="D24" s="7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24" customHeight="1">
      <c r="A25" s="4" t="n"/>
      <c r="B25" s="4" t="n"/>
      <c r="C25" s="4" t="n"/>
      <c r="D25" s="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24" customHeight="1">
      <c r="A26" s="6" t="n"/>
      <c r="B26" s="6" t="n"/>
      <c r="C26" s="6" t="n"/>
      <c r="D26" s="7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24" customHeight="1">
      <c r="A27" s="4" t="n"/>
      <c r="B27" s="4" t="n"/>
      <c r="C27" s="4" t="n"/>
      <c r="D27" s="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 ht="24" customHeight="1">
      <c r="A28" s="6" t="n"/>
      <c r="B28" s="6" t="n"/>
      <c r="C28" s="6" t="n"/>
      <c r="D28" s="7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24" customHeight="1">
      <c r="A29" s="4" t="n"/>
      <c r="B29" s="4" t="n"/>
      <c r="C29" s="4" t="n"/>
      <c r="D29" s="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 ht="24" customHeight="1">
      <c r="A30" s="6" t="n"/>
      <c r="B30" s="6" t="n"/>
      <c r="C30" s="6" t="n"/>
      <c r="D30" s="7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 ht="24" customHeight="1">
      <c r="A31" s="4" t="n"/>
      <c r="B31" s="4" t="n"/>
      <c r="C31" s="4" t="n"/>
      <c r="D31" s="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 ht="24" customHeight="1">
      <c r="A32" s="6" t="n"/>
      <c r="B32" s="6" t="n"/>
      <c r="C32" s="6" t="n"/>
      <c r="D32" s="7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24" customHeight="1">
      <c r="A33" s="4" t="n"/>
      <c r="B33" s="4" t="n"/>
      <c r="C33" s="4" t="n"/>
      <c r="D33" s="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 ht="24" customHeight="1">
      <c r="A34" s="6" t="n"/>
      <c r="B34" s="6" t="n"/>
      <c r="C34" s="6" t="n"/>
      <c r="D34" s="7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 ht="24" customHeight="1">
      <c r="A35" s="4" t="n"/>
      <c r="B35" s="4" t="n"/>
      <c r="C35" s="4" t="n"/>
      <c r="D35" s="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 ht="24" customHeight="1">
      <c r="A36" s="6" t="n"/>
      <c r="B36" s="6" t="n"/>
      <c r="C36" s="6" t="n"/>
      <c r="D36" s="7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 ht="24" customHeight="1">
      <c r="A37" s="4" t="n"/>
      <c r="B37" s="4" t="n"/>
      <c r="C37" s="4" t="n"/>
      <c r="D37" s="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 ht="24" customHeight="1">
      <c r="A38" s="6" t="n"/>
      <c r="B38" s="6" t="n"/>
      <c r="C38" s="6" t="n"/>
      <c r="D38" s="7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24" customHeight="1">
      <c r="A39" s="4" t="n"/>
      <c r="B39" s="4" t="n"/>
      <c r="C39" s="4" t="n"/>
      <c r="D39" s="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 ht="24" customHeight="1">
      <c r="A40" s="6" t="n"/>
      <c r="B40" s="6" t="n"/>
      <c r="C40" s="6" t="n"/>
      <c r="D40" s="7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24" customHeight="1">
      <c r="A41" s="4" t="n"/>
      <c r="B41" s="4" t="n"/>
      <c r="C41" s="4" t="n"/>
      <c r="D41" s="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 ht="24" customHeight="1">
      <c r="A42" s="6" t="n"/>
      <c r="B42" s="6" t="n"/>
      <c r="C42" s="6" t="n"/>
      <c r="D42" s="7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24" customHeight="1">
      <c r="A43" s="4" t="n"/>
      <c r="B43" s="4" t="n"/>
      <c r="C43" s="4" t="n"/>
      <c r="D43" s="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 ht="24" customHeight="1">
      <c r="A44" s="6" t="n"/>
      <c r="B44" s="6" t="n"/>
      <c r="C44" s="6" t="n"/>
      <c r="D44" s="7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24" customHeight="1">
      <c r="A45" s="4" t="n"/>
      <c r="B45" s="4" t="n"/>
      <c r="C45" s="4" t="n"/>
      <c r="D45" s="5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 ht="24" customHeight="1">
      <c r="A46" s="6" t="n"/>
      <c r="B46" s="6" t="n"/>
      <c r="C46" s="6" t="n"/>
      <c r="D46" s="7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24" customHeight="1">
      <c r="A47" s="4" t="n"/>
      <c r="B47" s="4" t="n"/>
      <c r="C47" s="4" t="n"/>
      <c r="D47" s="5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 ht="24" customHeight="1">
      <c r="A48" s="6" t="n"/>
      <c r="B48" s="6" t="n"/>
      <c r="C48" s="6" t="n"/>
      <c r="D48" s="7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24" customHeight="1">
      <c r="A49" s="4" t="n"/>
      <c r="B49" s="4" t="n"/>
      <c r="C49" s="4" t="n"/>
      <c r="D49" s="5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 ht="24" customHeight="1">
      <c r="A50" s="6" t="n"/>
      <c r="B50" s="6" t="n"/>
      <c r="C50" s="6" t="n"/>
      <c r="D50" s="7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24" customHeight="1">
      <c r="A51" s="4" t="n"/>
      <c r="B51" s="4" t="n"/>
      <c r="C51" s="4" t="n"/>
      <c r="D51" s="5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 ht="24" customHeight="1">
      <c r="A52" s="6" t="n"/>
      <c r="B52" s="6" t="n"/>
      <c r="C52" s="6" t="n"/>
      <c r="D52" s="7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24" customHeight="1">
      <c r="A53" s="4" t="n"/>
      <c r="B53" s="4" t="n"/>
      <c r="C53" s="4" t="n"/>
      <c r="D53" s="5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 ht="24" customHeight="1">
      <c r="A54" s="6" t="n"/>
      <c r="B54" s="6" t="n"/>
      <c r="C54" s="6" t="n"/>
      <c r="D54" s="7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24" customHeight="1">
      <c r="A55" s="4" t="n"/>
      <c r="B55" s="4" t="n"/>
      <c r="C55" s="4" t="n"/>
      <c r="D55" s="5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 ht="24" customHeight="1">
      <c r="A56" s="6" t="n"/>
      <c r="B56" s="6" t="n"/>
      <c r="C56" s="6" t="n"/>
      <c r="D56" s="7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24" customHeight="1">
      <c r="A57" s="4" t="n"/>
      <c r="B57" s="4" t="n"/>
      <c r="C57" s="4" t="n"/>
      <c r="D57" s="5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</sheetData>
  <mergeCells count="2">
    <mergeCell ref="A2:M2"/>
    <mergeCell ref="A1:M1"/>
  </mergeCells>
  <conditionalFormatting sqref="G5:G57">
    <cfRule type="expression" priority="1" dxfId="0">
      <formula>$G5="已完成"</formula>
    </cfRule>
    <cfRule type="expression" priority="2" dxfId="1">
      <formula>$G5="客戶簽核中"</formula>
    </cfRule>
    <cfRule type="expression" priority="3" dxfId="2">
      <formula>$G5="評估中"</formula>
    </cfRule>
    <cfRule type="expression" priority="4" dxfId="3">
      <formula>OR($G5="已撤回",$G5="已駁回")</formula>
    </cfRule>
  </conditionalFormatting>
  <conditionalFormatting sqref="F5:F57">
    <cfRule type="expression" priority="5" dxfId="1">
      <formula>$F5="立即處理"</formula>
    </cfRule>
  </conditionalFormatting>
  <dataValidations count="4">
    <dataValidation sqref="E5:E57" showDropDown="0" showInputMessage="0" showErrorMessage="0" allowBlank="1" errorTitle="輸入錯誤" error="請選擇有效的變更類型" type="list">
      <formula1>"新增功能,修改既有,刪除功能,流程順序調整,角色權限變更,整合外部系統,其他"</formula1>
    </dataValidation>
    <dataValidation sqref="F5:F57" showDropDown="0" showInputMessage="0" showErrorMessage="0" allowBlank="1" type="list">
      <formula1>"立即處理,下個 Sprint,可彈性安排"</formula1>
    </dataValidation>
    <dataValidation sqref="G5:G57" showDropDown="0" showInputMessage="0" showErrorMessage="0" allowBlank="1" type="list">
      <formula1>"待評估,評估中,客戶簽核中,排程中,開發中,測試中,已完成,已撤回,已駁回"</formula1>
    </dataValidation>
    <dataValidation sqref="H5:H57" showDropDown="0" showInputMessage="0" showErrorMessage="0" allowBlank="1" type="list">
      <formula1>"1,3,8,16"</formula1>
    </dataValidation>
  </dataValidations>
  <printOptions horizontalCentered="1"/>
  <pageMargins left="0.4" right="0.4" top="0.6" bottom="0.6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 ht="36" customHeight="1">
      <c r="A1" s="1" t="inlineStr">
        <is>
          <t>CR 累積統計儀表板</t>
        </is>
      </c>
    </row>
    <row r="2" ht="22" customHeight="1">
      <c r="A2" s="2" t="inlineStr">
        <is>
          <t>即時彙整 CR Log 中所有變更的累積成本與狀態分布（每週同步會議檢視）</t>
        </is>
      </c>
    </row>
    <row r="4" ht="28" customHeight="1">
      <c r="A4" s="8" t="inlineStr">
        <is>
          <t>一、累積指標</t>
        </is>
      </c>
    </row>
    <row r="5" ht="22" customHeight="1">
      <c r="A5" s="9" t="inlineStr">
        <is>
          <t>總 CR 數</t>
        </is>
      </c>
      <c r="B5" s="10" t="n"/>
      <c r="C5" s="9" t="inlineStr">
        <is>
          <t>總點數</t>
        </is>
      </c>
      <c r="D5" s="10" t="n"/>
      <c r="E5" s="9" t="inlineStr">
        <is>
          <t>總費用</t>
        </is>
      </c>
      <c r="F5" s="10" t="n"/>
    </row>
    <row r="6" ht="36" customHeight="1">
      <c r="A6" s="11">
        <f>COUNTA('CR Log'!A5:A100)</f>
        <v/>
      </c>
      <c r="B6" s="10" t="n"/>
      <c r="C6" s="11">
        <f>SUM('CR Log'!H5:H100)</f>
        <v/>
      </c>
      <c r="D6" s="10" t="n"/>
      <c r="E6" s="12">
        <f>SUM('CR Log'!I5:I100)</f>
        <v/>
      </c>
      <c r="F6" s="10" t="n"/>
    </row>
    <row r="7" ht="18" customHeight="1">
      <c r="A7" s="13" t="inlineStr">
        <is>
          <t>件</t>
        </is>
      </c>
      <c r="B7" s="10" t="n"/>
      <c r="C7" s="13" t="inlineStr">
        <is>
          <t>點</t>
        </is>
      </c>
      <c r="D7" s="10" t="n"/>
      <c r="E7" s="13" t="inlineStr">
        <is>
          <t>NT$</t>
        </is>
      </c>
      <c r="F7" s="10" t="n"/>
    </row>
    <row r="9" ht="22" customHeight="1">
      <c r="A9" s="9" t="inlineStr">
        <is>
          <t>已完成</t>
        </is>
      </c>
      <c r="B9" s="10" t="n"/>
      <c r="C9" s="9" t="inlineStr">
        <is>
          <t>進行中</t>
        </is>
      </c>
      <c r="D9" s="10" t="n"/>
      <c r="E9" s="9" t="inlineStr">
        <is>
          <t>客戶簽核中</t>
        </is>
      </c>
      <c r="F9" s="10" t="n"/>
    </row>
    <row r="10" ht="36" customHeight="1">
      <c r="A10" s="11">
        <f>COUNTIF('CR Log'!G5:G100,"已完成")</f>
        <v/>
      </c>
      <c r="B10" s="10" t="n"/>
      <c r="C10" s="11">
        <f>COUNTIFS('CR Log'!G5:G100,"&lt;&gt;已完成",'CR Log'!G5:G100,"&lt;&gt;已撤回",'CR Log'!G5:G100,"&lt;&gt;已駁回",'CR Log'!G5:G100,"&lt;&gt;")</f>
        <v/>
      </c>
      <c r="D10" s="10" t="n"/>
      <c r="E10" s="11">
        <f>COUNTIF('CR Log'!G5:G100,"客戶簽核中")</f>
        <v/>
      </c>
      <c r="F10" s="10" t="n"/>
    </row>
    <row r="11" ht="18" customHeight="1">
      <c r="A11" s="13" t="inlineStr">
        <is>
          <t>件</t>
        </is>
      </c>
      <c r="B11" s="10" t="n"/>
      <c r="C11" s="13" t="inlineStr">
        <is>
          <t>件</t>
        </is>
      </c>
      <c r="D11" s="10" t="n"/>
      <c r="E11" s="13" t="inlineStr">
        <is>
          <t>件</t>
        </is>
      </c>
      <c r="F11" s="10" t="n"/>
    </row>
    <row r="14" ht="28" customHeight="1">
      <c r="A14" s="8" t="inlineStr">
        <is>
          <t>二、狀態分布</t>
        </is>
      </c>
    </row>
    <row r="15">
      <c r="A15" s="14" t="inlineStr">
        <is>
          <t>狀態</t>
        </is>
      </c>
      <c r="B15" s="14" t="inlineStr">
        <is>
          <t>件數</t>
        </is>
      </c>
      <c r="C15" s="14" t="inlineStr">
        <is>
          <t>累積點數</t>
        </is>
      </c>
      <c r="D15" s="14" t="inlineStr">
        <is>
          <t>累積費用 (NT$)</t>
        </is>
      </c>
    </row>
    <row r="16" ht="22" customHeight="1">
      <c r="A16" s="15" t="inlineStr">
        <is>
          <t>待評估</t>
        </is>
      </c>
      <c r="B16" s="15">
        <f>COUNTIF('CR Log'!G5:G100,"待評估")</f>
        <v/>
      </c>
      <c r="C16" s="15">
        <f>SUMIF('CR Log'!G5:G100,"待評估",'CR Log'!H5:H100)</f>
        <v/>
      </c>
      <c r="D16" s="16">
        <f>SUMIF('CR Log'!G5:G100,"待評估",'CR Log'!I5:I100)</f>
        <v/>
      </c>
    </row>
    <row r="17" ht="22" customHeight="1">
      <c r="A17" s="17" t="inlineStr">
        <is>
          <t>評估中</t>
        </is>
      </c>
      <c r="B17" s="17">
        <f>COUNTIF('CR Log'!G5:G100,"評估中")</f>
        <v/>
      </c>
      <c r="C17" s="17">
        <f>SUMIF('CR Log'!G5:G100,"評估中",'CR Log'!H5:H100)</f>
        <v/>
      </c>
      <c r="D17" s="18">
        <f>SUMIF('CR Log'!G5:G100,"評估中",'CR Log'!I5:I100)</f>
        <v/>
      </c>
    </row>
    <row r="18" ht="22" customHeight="1">
      <c r="A18" s="15" t="inlineStr">
        <is>
          <t>客戶簽核中</t>
        </is>
      </c>
      <c r="B18" s="15">
        <f>COUNTIF('CR Log'!G5:G100,"客戶簽核中")</f>
        <v/>
      </c>
      <c r="C18" s="15">
        <f>SUMIF('CR Log'!G5:G100,"客戶簽核中",'CR Log'!H5:H100)</f>
        <v/>
      </c>
      <c r="D18" s="16">
        <f>SUMIF('CR Log'!G5:G100,"客戶簽核中",'CR Log'!I5:I100)</f>
        <v/>
      </c>
    </row>
    <row r="19" ht="22" customHeight="1">
      <c r="A19" s="17" t="inlineStr">
        <is>
          <t>排程中</t>
        </is>
      </c>
      <c r="B19" s="17">
        <f>COUNTIF('CR Log'!G5:G100,"排程中")</f>
        <v/>
      </c>
      <c r="C19" s="17">
        <f>SUMIF('CR Log'!G5:G100,"排程中",'CR Log'!H5:H100)</f>
        <v/>
      </c>
      <c r="D19" s="18">
        <f>SUMIF('CR Log'!G5:G100,"排程中",'CR Log'!I5:I100)</f>
        <v/>
      </c>
    </row>
    <row r="20" ht="22" customHeight="1">
      <c r="A20" s="15" t="inlineStr">
        <is>
          <t>開發中</t>
        </is>
      </c>
      <c r="B20" s="15">
        <f>COUNTIF('CR Log'!G5:G100,"開發中")</f>
        <v/>
      </c>
      <c r="C20" s="15">
        <f>SUMIF('CR Log'!G5:G100,"開發中",'CR Log'!H5:H100)</f>
        <v/>
      </c>
      <c r="D20" s="16">
        <f>SUMIF('CR Log'!G5:G100,"開發中",'CR Log'!I5:I100)</f>
        <v/>
      </c>
    </row>
    <row r="21" ht="22" customHeight="1">
      <c r="A21" s="17" t="inlineStr">
        <is>
          <t>測試中</t>
        </is>
      </c>
      <c r="B21" s="17">
        <f>COUNTIF('CR Log'!G5:G100,"測試中")</f>
        <v/>
      </c>
      <c r="C21" s="17">
        <f>SUMIF('CR Log'!G5:G100,"測試中",'CR Log'!H5:H100)</f>
        <v/>
      </c>
      <c r="D21" s="18">
        <f>SUMIF('CR Log'!G5:G100,"測試中",'CR Log'!I5:I100)</f>
        <v/>
      </c>
    </row>
    <row r="22" ht="22" customHeight="1">
      <c r="A22" s="15" t="inlineStr">
        <is>
          <t>已完成</t>
        </is>
      </c>
      <c r="B22" s="15">
        <f>COUNTIF('CR Log'!G5:G100,"已完成")</f>
        <v/>
      </c>
      <c r="C22" s="15">
        <f>SUMIF('CR Log'!G5:G100,"已完成",'CR Log'!H5:H100)</f>
        <v/>
      </c>
      <c r="D22" s="16">
        <f>SUMIF('CR Log'!G5:G100,"已完成",'CR Log'!I5:I100)</f>
        <v/>
      </c>
    </row>
    <row r="23" ht="22" customHeight="1">
      <c r="A23" s="17" t="inlineStr">
        <is>
          <t>已撤回</t>
        </is>
      </c>
      <c r="B23" s="17">
        <f>COUNTIF('CR Log'!G5:G100,"已撤回")</f>
        <v/>
      </c>
      <c r="C23" s="17">
        <f>SUMIF('CR Log'!G5:G100,"已撤回",'CR Log'!H5:H100)</f>
        <v/>
      </c>
      <c r="D23" s="18">
        <f>SUMIF('CR Log'!G5:G100,"已撤回",'CR Log'!I5:I100)</f>
        <v/>
      </c>
    </row>
    <row r="24" ht="22" customHeight="1">
      <c r="A24" s="15" t="inlineStr">
        <is>
          <t>已駁回</t>
        </is>
      </c>
      <c r="B24" s="15">
        <f>COUNTIF('CR Log'!G5:G100,"已駁回")</f>
        <v/>
      </c>
      <c r="C24" s="15">
        <f>SUMIF('CR Log'!G5:G100,"已駁回",'CR Log'!H5:H100)</f>
        <v/>
      </c>
      <c r="D24" s="16">
        <f>SUMIF('CR Log'!G5:G100,"已駁回",'CR Log'!I5:I100)</f>
        <v/>
      </c>
    </row>
  </sheetData>
  <mergeCells count="22">
    <mergeCell ref="C6:D6"/>
    <mergeCell ref="A11:B11"/>
    <mergeCell ref="C5:D5"/>
    <mergeCell ref="E5:F5"/>
    <mergeCell ref="A6:B6"/>
    <mergeCell ref="A2:F2"/>
    <mergeCell ref="C10:D10"/>
    <mergeCell ref="A7:B7"/>
    <mergeCell ref="E10:F10"/>
    <mergeCell ref="A14:F14"/>
    <mergeCell ref="A4:F4"/>
    <mergeCell ref="C9:D9"/>
    <mergeCell ref="E9:F9"/>
    <mergeCell ref="E6:F6"/>
    <mergeCell ref="C11:D11"/>
    <mergeCell ref="E11:F11"/>
    <mergeCell ref="A5:B5"/>
    <mergeCell ref="C7:D7"/>
    <mergeCell ref="E7:F7"/>
    <mergeCell ref="A1:F1"/>
    <mergeCell ref="A10:B10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6" customHeight="1">
      <c r="A1" s="1" t="inlineStr">
        <is>
          <t>CR Log 使用說明</t>
        </is>
      </c>
    </row>
    <row r="2" ht="8" customHeight="1"/>
    <row r="3" ht="26" customHeight="1">
      <c r="A3" s="8" t="inlineStr">
        <is>
          <t>一、使用流程</t>
        </is>
      </c>
    </row>
    <row r="4" ht="24" customHeight="1">
      <c r="A4" s="19" t="inlineStr">
        <is>
          <t>① 客戶提出 CR</t>
        </is>
      </c>
      <c r="B4" s="5" t="inlineStr">
        <is>
          <t>請客戶填寫《CR 需求變更申請單》Word 範本</t>
        </is>
      </c>
    </row>
    <row r="5" ht="24" customHeight="1">
      <c r="A5" s="19" t="inlineStr">
        <is>
          <t>② 開發評估</t>
        </is>
      </c>
      <c r="B5" s="5" t="inlineStr">
        <is>
          <t>開發團隊填寫工時、影響範圍、技術風險（3 工作天內）</t>
        </is>
      </c>
    </row>
    <row r="6" ht="24" customHeight="1">
      <c r="A6" s="19" t="inlineStr">
        <is>
          <t>③ PM 報價</t>
        </is>
      </c>
      <c r="B6" s="5" t="inlineStr">
        <is>
          <t>PM 計算 CR 點數、費用、新交付日（1 工作天內）</t>
        </is>
      </c>
    </row>
    <row r="7" ht="24" customHeight="1">
      <c r="A7" s="19" t="inlineStr">
        <is>
          <t>④ 客戶簽核</t>
        </is>
      </c>
      <c r="B7" s="5" t="inlineStr">
        <is>
          <t>客戶決策者簽名同意（限 5 工作天內回覆）</t>
        </is>
      </c>
    </row>
    <row r="8" ht="24" customHeight="1">
      <c r="A8" s="19" t="inlineStr">
        <is>
          <t>⑤ 登錄 CR Log</t>
        </is>
      </c>
      <c r="B8" s="5" t="inlineStr">
        <is>
          <t>將本筆 CR 加入「CR Log」工作表，更新狀態</t>
        </is>
      </c>
    </row>
    <row r="9" ht="24" customHeight="1">
      <c r="A9" s="19" t="inlineStr">
        <is>
          <t>⑥ 排程實作</t>
        </is>
      </c>
      <c r="B9" s="5" t="inlineStr">
        <is>
          <t>併入下個 Sprint 開發</t>
        </is>
      </c>
    </row>
    <row r="10" ht="24" customHeight="1">
      <c r="A10" s="19" t="inlineStr">
        <is>
          <t>⑦ 驗收結案</t>
        </is>
      </c>
      <c r="B10" s="5" t="inlineStr">
        <is>
          <t>完成後更新「完成日」與狀態為「已完成」</t>
        </is>
      </c>
    </row>
    <row r="11" ht="8" customHeight="1"/>
    <row r="12" ht="26" customHeight="1">
      <c r="A12" s="8" t="inlineStr">
        <is>
          <t>二、CR 點數規則</t>
        </is>
      </c>
    </row>
    <row r="13" ht="24" customHeight="1">
      <c r="A13" s="19" t="inlineStr">
        <is>
          <t>小型 = 1 點</t>
        </is>
      </c>
      <c r="B13" s="5" t="inlineStr">
        <is>
          <t>單一畫面文案／欄位調整、不影響其他模組</t>
        </is>
      </c>
    </row>
    <row r="14" ht="24" customHeight="1">
      <c r="A14" s="19" t="inlineStr">
        <is>
          <t>中型 = 3 點</t>
        </is>
      </c>
      <c r="B14" s="5" t="inlineStr">
        <is>
          <t>單一模組內流程調整，需修改 1-2 支 API</t>
        </is>
      </c>
    </row>
    <row r="15" ht="24" customHeight="1">
      <c r="A15" s="19" t="inlineStr">
        <is>
          <t>大型 = 8 點</t>
        </is>
      </c>
      <c r="B15" s="5" t="inlineStr">
        <is>
          <t>跨模組變更，需重做部分既有功能</t>
        </is>
      </c>
    </row>
    <row r="16" ht="24" customHeight="1">
      <c r="A16" s="19" t="inlineStr">
        <is>
          <t>超大型 = 16 點+</t>
        </is>
      </c>
      <c r="B16" s="5" t="inlineStr">
        <is>
          <t>架構級重構，需另行估價（建議改開新需求單）</t>
        </is>
      </c>
    </row>
    <row r="17" ht="8" customHeight="1"/>
    <row r="18" ht="26" customHeight="1">
      <c r="A18" s="8" t="inlineStr">
        <is>
          <t>三、狀態定義</t>
        </is>
      </c>
    </row>
    <row r="19" ht="24" customHeight="1">
      <c r="A19" s="19" t="inlineStr">
        <is>
          <t>待評估</t>
        </is>
      </c>
      <c r="B19" s="5" t="inlineStr">
        <is>
          <t>剛收到客戶申請，尚未開始評估</t>
        </is>
      </c>
    </row>
    <row r="20" ht="24" customHeight="1">
      <c r="A20" s="19" t="inlineStr">
        <is>
          <t>評估中</t>
        </is>
      </c>
      <c r="B20" s="5" t="inlineStr">
        <is>
          <t>開發團隊正在分析影響範圍</t>
        </is>
      </c>
    </row>
    <row r="21" ht="24" customHeight="1">
      <c r="A21" s="19" t="inlineStr">
        <is>
          <t>客戶簽核中</t>
        </is>
      </c>
      <c r="B21" s="5" t="inlineStr">
        <is>
          <t>已報價，等待客戶決策（限 5 工作天）</t>
        </is>
      </c>
    </row>
    <row r="22" ht="24" customHeight="1">
      <c r="A22" s="19" t="inlineStr">
        <is>
          <t>排程中</t>
        </is>
      </c>
      <c r="B22" s="5" t="inlineStr">
        <is>
          <t>已簽核，等待併入下個 Sprint</t>
        </is>
      </c>
    </row>
    <row r="23" ht="24" customHeight="1">
      <c r="A23" s="19" t="inlineStr">
        <is>
          <t>開發中</t>
        </is>
      </c>
      <c r="B23" s="5" t="inlineStr">
        <is>
          <t>正在實作</t>
        </is>
      </c>
    </row>
    <row r="24" ht="24" customHeight="1">
      <c r="A24" s="19" t="inlineStr">
        <is>
          <t>測試中</t>
        </is>
      </c>
      <c r="B24" s="5" t="inlineStr">
        <is>
          <t>完成開發，進行驗收測試</t>
        </is>
      </c>
    </row>
    <row r="25" ht="24" customHeight="1">
      <c r="A25" s="19" t="inlineStr">
        <is>
          <t>已完成</t>
        </is>
      </c>
      <c r="B25" s="5" t="inlineStr">
        <is>
          <t>驗收通過，CR 結案</t>
        </is>
      </c>
    </row>
    <row r="26" ht="24" customHeight="1">
      <c r="A26" s="19" t="inlineStr">
        <is>
          <t>已撤回</t>
        </is>
      </c>
      <c r="B26" s="5" t="inlineStr">
        <is>
          <t>客戶逾期未回覆或主動放棄</t>
        </is>
      </c>
    </row>
    <row r="27" ht="24" customHeight="1">
      <c r="A27" s="19" t="inlineStr">
        <is>
          <t>已駁回</t>
        </is>
      </c>
      <c r="B27" s="5" t="inlineStr">
        <is>
          <t>評估後不可行（技術／時程／預算）</t>
        </is>
      </c>
    </row>
    <row r="28" ht="8" customHeight="1"/>
    <row r="29" ht="26" customHeight="1">
      <c r="A29" s="8" t="inlineStr">
        <is>
          <t>四、運作技巧</t>
        </is>
      </c>
    </row>
    <row r="30" ht="24" customHeight="1">
      <c r="A30" s="19" t="inlineStr">
        <is>
          <t>每週同步檢視</t>
        </is>
      </c>
      <c r="B30" s="5" t="inlineStr">
        <is>
          <t>固定 Weekly Sync 會議檢查所有 pending CR，避免堆積</t>
        </is>
      </c>
    </row>
    <row r="31" ht="24" customHeight="1">
      <c r="A31" s="19" t="inlineStr">
        <is>
          <t>累積成本可視化</t>
        </is>
      </c>
      <c r="B31" s="5" t="inlineStr">
        <is>
          <t>統計儀表板讓客戶看到 CR 累積總額，自然會節制需求</t>
        </is>
      </c>
    </row>
    <row r="32" ht="24" customHeight="1">
      <c r="A32" s="19" t="inlineStr">
        <is>
          <t>CR 編號不重用</t>
        </is>
      </c>
      <c r="B32" s="5" t="inlineStr">
        <is>
          <t>即使 CR 被撤回或駁回，編號也不重複使用，保留完整紀錄</t>
        </is>
      </c>
    </row>
    <row r="33" ht="24" customHeight="1">
      <c r="A33" s="19" t="inlineStr">
        <is>
          <t>範例資料保留</t>
        </is>
      </c>
      <c r="B33" s="5" t="inlineStr">
        <is>
          <t>工作表預設前 3 列為範例，實際使用時可從第 4 列開始填寫</t>
        </is>
      </c>
    </row>
  </sheetData>
  <mergeCells count="5">
    <mergeCell ref="A29:B29"/>
    <mergeCell ref="A1:B1"/>
    <mergeCell ref="A18:B18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2026-04-07T05:58:54Z</dcterms:created>
  <dcterms:modified xmlns:dcterms="http://purl.org/dc/terms/" xmlns:xsi="http://www.w3.org/2001/XMLSchema-instance" xsi:type="dcterms:W3CDTF">2026-04-07T05:58:54Z</dcterms:modified>
</cp:coreProperties>
</file>