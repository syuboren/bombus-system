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Log" sheetId="1" state="visible" r:id="rId1"/>
    <sheet xmlns:r="http://schemas.openxmlformats.org/officeDocument/2006/relationships" name="統計儀表板" sheetId="2" state="visible" r:id="rId2"/>
    <sheet xmlns:r="http://schemas.openxmlformats.org/officeDocument/2006/relationships" name="使用說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微軟正黑體"/>
      <b val="1"/>
      <color rgb="004A6359"/>
      <sz val="18"/>
    </font>
    <font>
      <name val="微軟正黑體"/>
      <i val="1"/>
      <color rgb="00B85C00"/>
      <sz val="10"/>
    </font>
    <font>
      <name val="微軟正黑體"/>
      <b val="1"/>
      <color rgb="00FFFFFF"/>
      <sz val="11"/>
    </font>
    <font>
      <name val="微軟正黑體"/>
      <color rgb="00333333"/>
      <sz val="10"/>
    </font>
    <font>
      <name val="微軟正黑體"/>
      <i val="1"/>
      <color rgb="006B6B6B"/>
      <sz val="10"/>
    </font>
    <font>
      <name val="微軟正黑體"/>
      <b val="1"/>
      <color rgb="00FFFFFF"/>
      <sz val="13"/>
    </font>
    <font>
      <name val="微軟正黑體"/>
      <b val="1"/>
      <color rgb="004A6359"/>
      <sz val="11"/>
    </font>
    <font>
      <name val="微軟正黑體"/>
      <b val="1"/>
      <color rgb="004A6359"/>
      <sz val="20"/>
    </font>
    <font>
      <name val="微軟正黑體"/>
      <color rgb="006B6B6B"/>
      <sz val="9"/>
    </font>
    <font>
      <name val="微軟正黑體"/>
      <b val="1"/>
      <color rgb="00B85C00"/>
      <sz val="20"/>
    </font>
    <font>
      <name val="微軟正黑體"/>
      <sz val="10"/>
    </font>
    <font>
      <name val="微軟正黑體"/>
      <i val="1"/>
      <color rgb="00B85C00"/>
      <sz val="11"/>
    </font>
    <font>
      <name val="微軟正黑體"/>
      <b val="1"/>
      <color rgb="00B85C00"/>
      <sz val="11"/>
    </font>
  </fonts>
  <fills count="7">
    <fill>
      <patternFill/>
    </fill>
    <fill>
      <patternFill patternType="gray125"/>
    </fill>
    <fill>
      <patternFill patternType="solid">
        <fgColor rgb="00E8EFEC"/>
      </patternFill>
    </fill>
    <fill>
      <patternFill patternType="solid">
        <fgColor rgb="008DA399"/>
      </patternFill>
    </fill>
    <fill>
      <patternFill patternType="solid">
        <fgColor rgb="00F7F4F1"/>
      </patternFill>
    </fill>
    <fill>
      <patternFill patternType="solid">
        <fgColor rgb="00FFFFFF"/>
      </patternFill>
    </fill>
    <fill>
      <patternFill patternType="solid">
        <fgColor rgb="004A6359"/>
      </patternFill>
    </fill>
  </fills>
  <borders count="5">
    <border>
      <left/>
      <right/>
      <top/>
      <bottom/>
      <diagonal/>
    </border>
    <border>
      <left style="thin">
        <color rgb="00C9D3CE"/>
      </left>
      <right style="thin">
        <color rgb="00C9D3CE"/>
      </right>
      <top style="thin">
        <color rgb="00C9D3CE"/>
      </top>
      <bottom style="thin">
        <color rgb="00C9D3CE"/>
      </bottom>
    </border>
    <border>
      <left/>
      <right/>
      <top style="thin">
        <color rgb="00C9D3CE"/>
      </top>
      <bottom/>
      <diagonal/>
    </border>
    <border>
      <left/>
      <right style="thin">
        <color rgb="00C9D3CE"/>
      </right>
      <top style="thin">
        <color rgb="00C9D3CE"/>
      </top>
      <bottom/>
      <diagonal/>
    </border>
    <border>
      <left/>
      <right style="thin">
        <color rgb="00C9D3CE"/>
      </right>
      <top style="thin">
        <color rgb="00C9D3CE"/>
      </top>
      <bottom style="thin">
        <color rgb="00C9D3CE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left" vertical="center" indent="1"/>
    </xf>
    <xf numFmtId="0" fontId="13" fillId="2" borderId="1" applyAlignment="1" pivotButton="0" quotePrefix="0" xfId="0">
      <alignment horizontal="left" vertical="center" indent="1"/>
    </xf>
  </cellXfs>
  <cellStyles count="1">
    <cellStyle name="Normal" xfId="0" builtinId="0" hidden="0"/>
  </cellStyles>
  <dxfs count="6">
    <dxf>
      <font>
        <name val="微軟正黑體"/>
        <b val="1"/>
        <color rgb="008B0000"/>
        <sz val="10"/>
      </font>
      <fill>
        <patternFill patternType="solid">
          <fgColor rgb="00FAD5D0"/>
        </patternFill>
      </fill>
    </dxf>
    <dxf>
      <font>
        <name val="微軟正黑體"/>
        <b val="1"/>
        <color rgb="00B85C00"/>
        <sz val="10"/>
      </font>
      <fill>
        <patternFill patternType="solid">
          <fgColor rgb="00FAE8DC"/>
        </patternFill>
      </fill>
    </dxf>
    <dxf>
      <font>
        <name val="微軟正黑體"/>
        <color rgb="008A6D00"/>
        <sz val="10"/>
      </font>
      <fill>
        <patternFill patternType="solid">
          <fgColor rgb="00FAF4E0"/>
        </patternFill>
      </fill>
    </dxf>
    <dxf>
      <font>
        <name val="微軟正黑體"/>
        <b val="1"/>
        <color rgb="004A6359"/>
        <sz val="10"/>
      </font>
      <fill>
        <patternFill patternType="solid">
          <fgColor rgb="00D5E4DC"/>
        </patternFill>
      </fill>
    </dxf>
    <dxf>
      <font>
        <name val="微軟正黑體"/>
        <color rgb="00B85C00"/>
        <sz val="10"/>
      </font>
      <fill>
        <patternFill patternType="solid">
          <fgColor rgb="00FAE8DC"/>
        </patternFill>
      </fill>
    </dxf>
    <dxf>
      <fill>
        <patternFill patternType="solid">
          <fgColor rgb="00FFF0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4" customWidth="1" min="5" max="5"/>
    <col width="32" customWidth="1" min="6" max="6"/>
    <col width="26" customWidth="1" min="7" max="7"/>
    <col width="20" customWidth="1" min="8" max="8"/>
    <col width="14" customWidth="1" min="9" max="9"/>
    <col width="16" customWidth="1" min="10" max="10"/>
    <col width="12" customWidth="1" min="11" max="11"/>
    <col width="12" customWidth="1" min="12" max="12"/>
  </cols>
  <sheetData>
    <row r="1" ht="36" customHeight="1">
      <c r="A1" s="1" t="inlineStr">
        <is>
          <t>Bombus｜決策紀錄簿（Decision Log）</t>
        </is>
      </c>
    </row>
    <row r="2" ht="22" customHeight="1">
      <c r="A2" s="2" t="inlineStr">
        <is>
          <t>⚠ 內部自保工具｜記錄所有關鍵決策、客戶口頭同意、例外處理 — 客戶翻臉時的證據來源</t>
        </is>
      </c>
    </row>
    <row r="3" ht="8" customHeight="1"/>
    <row r="4" ht="36" customHeight="1">
      <c r="A4" s="3" t="inlineStr">
        <is>
          <t>編號</t>
        </is>
      </c>
      <c r="B4" s="3" t="inlineStr">
        <is>
          <t>日期</t>
        </is>
      </c>
      <c r="C4" s="3" t="inlineStr">
        <is>
          <t>來源</t>
        </is>
      </c>
      <c r="D4" s="3" t="inlineStr">
        <is>
          <t>決策類型</t>
        </is>
      </c>
      <c r="E4" s="3" t="inlineStr">
        <is>
          <t>關聯模組</t>
        </is>
      </c>
      <c r="F4" s="3" t="inlineStr">
        <is>
          <t>決策內容</t>
        </is>
      </c>
      <c r="G4" s="3" t="inlineStr">
        <is>
          <t>決策依據</t>
        </is>
      </c>
      <c r="H4" s="3" t="inlineStr">
        <is>
          <t>參與者</t>
        </is>
      </c>
      <c r="I4" s="3" t="inlineStr">
        <is>
          <t>客戶確認方式</t>
        </is>
      </c>
      <c r="J4" s="3" t="inlineStr">
        <is>
          <t>證據連結</t>
        </is>
      </c>
      <c r="K4" s="3" t="inlineStr">
        <is>
          <t>風險等級</t>
        </is>
      </c>
      <c r="L4" s="3" t="inlineStr">
        <is>
          <t>追蹤狀態</t>
        </is>
      </c>
    </row>
    <row r="5" ht="56" customHeight="1">
      <c r="A5" s="4" t="inlineStr">
        <is>
          <t>DL-001</t>
        </is>
      </c>
      <c r="B5" s="4" t="inlineStr">
        <is>
          <t>2026/04/10</t>
        </is>
      </c>
      <c r="C5" s="5" t="inlineStr">
        <is>
          <t>Weekly Sync</t>
        </is>
      </c>
      <c r="D5" s="5" t="inlineStr">
        <is>
          <t>規格確認</t>
        </is>
      </c>
      <c r="E5" s="5" t="inlineStr">
        <is>
          <t>L1 招募</t>
        </is>
      </c>
      <c r="F5" s="5" t="inlineStr">
        <is>
          <t>客戶確認「候選人 email 不重複」作為硬性驗證</t>
        </is>
      </c>
      <c r="G5" s="5" t="inlineStr">
        <is>
          <t>會議當場 PM 提問，客戶 PM 口頭同意</t>
        </is>
      </c>
      <c r="H5" s="5" t="inlineStr">
        <is>
          <t>客戶 PM 王小姐 / 開發 PM 陳先生</t>
        </is>
      </c>
      <c r="I5" s="4" t="inlineStr">
        <is>
          <t>會議錄音</t>
        </is>
      </c>
      <c r="J5" s="5" t="inlineStr">
        <is>
          <t>meeting-0410.mp3</t>
        </is>
      </c>
      <c r="K5" s="4" t="inlineStr">
        <is>
          <t>中</t>
        </is>
      </c>
      <c r="L5" s="4" t="inlineStr">
        <is>
          <t>已實作</t>
        </is>
      </c>
    </row>
    <row r="6" ht="56" customHeight="1">
      <c r="A6" s="6" t="inlineStr">
        <is>
          <t>DL-002</t>
        </is>
      </c>
      <c r="B6" s="6" t="inlineStr">
        <is>
          <t>2026/04/12</t>
        </is>
      </c>
      <c r="C6" s="7" t="inlineStr">
        <is>
          <t>Email</t>
        </is>
      </c>
      <c r="D6" s="7" t="inlineStr">
        <is>
          <t>例外處理</t>
        </is>
      </c>
      <c r="E6" s="7" t="inlineStr">
        <is>
          <t>L1 員工檔案</t>
        </is>
      </c>
      <c r="F6" s="7" t="inlineStr">
        <is>
          <t>同意員工離職不立即刪除帳號，保留 90 天以便交接</t>
        </is>
      </c>
      <c r="G6" s="7" t="inlineStr">
        <is>
          <t>客戶 HR 主管來信指示，違反原需求確認單 3.2</t>
        </is>
      </c>
      <c r="H6" s="7" t="inlineStr">
        <is>
          <t>客戶 HR 主管 / 開發 PM</t>
        </is>
      </c>
      <c r="I6" s="6" t="inlineStr">
        <is>
          <t>書面 Email</t>
        </is>
      </c>
      <c r="J6" s="7" t="inlineStr">
        <is>
          <t>archive/email-0412.pdf</t>
        </is>
      </c>
      <c r="K6" s="6" t="inlineStr">
        <is>
          <t>高</t>
        </is>
      </c>
      <c r="L6" s="6" t="inlineStr">
        <is>
          <t>已實作</t>
        </is>
      </c>
    </row>
    <row r="7" ht="56" customHeight="1">
      <c r="A7" s="4" t="inlineStr">
        <is>
          <t>DL-003</t>
        </is>
      </c>
      <c r="B7" s="4" t="inlineStr">
        <is>
          <t>2026/04/15</t>
        </is>
      </c>
      <c r="C7" s="5" t="inlineStr">
        <is>
          <t>Slack</t>
        </is>
      </c>
      <c r="D7" s="5" t="inlineStr">
        <is>
          <t>口頭承諾</t>
        </is>
      </c>
      <c r="E7" s="5" t="inlineStr">
        <is>
          <t>整體</t>
        </is>
      </c>
      <c r="F7" s="5" t="inlineStr">
        <is>
          <t>客戶 PM 口頭說「UI 簽核後不再改流程」</t>
        </is>
      </c>
      <c r="G7" s="5" t="inlineStr">
        <is>
          <t>Slack 對話紀錄，作為後續凍結期依據</t>
        </is>
      </c>
      <c r="H7" s="5" t="inlineStr">
        <is>
          <t>客戶 PM / 開發 PM</t>
        </is>
      </c>
      <c r="I7" s="4" t="inlineStr">
        <is>
          <t>Slack 截圖</t>
        </is>
      </c>
      <c r="J7" s="5" t="inlineStr">
        <is>
          <t>slack/0415-ui-freeze.png</t>
        </is>
      </c>
      <c r="K7" s="4" t="inlineStr">
        <is>
          <t>高</t>
        </is>
      </c>
      <c r="L7" s="4" t="inlineStr">
        <is>
          <t>進行中</t>
        </is>
      </c>
    </row>
    <row r="8" ht="36" customHeight="1">
      <c r="A8" s="6" t="n"/>
      <c r="B8" s="6" t="n"/>
      <c r="C8" s="7" t="n"/>
      <c r="D8" s="7" t="n"/>
      <c r="E8" s="7" t="n"/>
      <c r="F8" s="7" t="n"/>
      <c r="G8" s="7" t="n"/>
      <c r="H8" s="7" t="n"/>
      <c r="I8" s="6" t="n"/>
      <c r="J8" s="7" t="n"/>
      <c r="K8" s="6" t="n"/>
      <c r="L8" s="6" t="n"/>
    </row>
    <row r="9" ht="36" customHeight="1">
      <c r="A9" s="4" t="n"/>
      <c r="B9" s="4" t="n"/>
      <c r="C9" s="5" t="n"/>
      <c r="D9" s="5" t="n"/>
      <c r="E9" s="5" t="n"/>
      <c r="F9" s="5" t="n"/>
      <c r="G9" s="5" t="n"/>
      <c r="H9" s="5" t="n"/>
      <c r="I9" s="4" t="n"/>
      <c r="J9" s="5" t="n"/>
      <c r="K9" s="4" t="n"/>
      <c r="L9" s="4" t="n"/>
    </row>
    <row r="10" ht="36" customHeight="1">
      <c r="A10" s="6" t="n"/>
      <c r="B10" s="6" t="n"/>
      <c r="C10" s="7" t="n"/>
      <c r="D10" s="7" t="n"/>
      <c r="E10" s="7" t="n"/>
      <c r="F10" s="7" t="n"/>
      <c r="G10" s="7" t="n"/>
      <c r="H10" s="7" t="n"/>
      <c r="I10" s="6" t="n"/>
      <c r="J10" s="7" t="n"/>
      <c r="K10" s="6" t="n"/>
      <c r="L10" s="6" t="n"/>
    </row>
    <row r="11" ht="36" customHeight="1">
      <c r="A11" s="4" t="n"/>
      <c r="B11" s="4" t="n"/>
      <c r="C11" s="5" t="n"/>
      <c r="D11" s="5" t="n"/>
      <c r="E11" s="5" t="n"/>
      <c r="F11" s="5" t="n"/>
      <c r="G11" s="5" t="n"/>
      <c r="H11" s="5" t="n"/>
      <c r="I11" s="4" t="n"/>
      <c r="J11" s="5" t="n"/>
      <c r="K11" s="4" t="n"/>
      <c r="L11" s="4" t="n"/>
    </row>
    <row r="12" ht="36" customHeight="1">
      <c r="A12" s="6" t="n"/>
      <c r="B12" s="6" t="n"/>
      <c r="C12" s="7" t="n"/>
      <c r="D12" s="7" t="n"/>
      <c r="E12" s="7" t="n"/>
      <c r="F12" s="7" t="n"/>
      <c r="G12" s="7" t="n"/>
      <c r="H12" s="7" t="n"/>
      <c r="I12" s="6" t="n"/>
      <c r="J12" s="7" t="n"/>
      <c r="K12" s="6" t="n"/>
      <c r="L12" s="6" t="n"/>
    </row>
    <row r="13" ht="36" customHeight="1">
      <c r="A13" s="4" t="n"/>
      <c r="B13" s="4" t="n"/>
      <c r="C13" s="5" t="n"/>
      <c r="D13" s="5" t="n"/>
      <c r="E13" s="5" t="n"/>
      <c r="F13" s="5" t="n"/>
      <c r="G13" s="5" t="n"/>
      <c r="H13" s="5" t="n"/>
      <c r="I13" s="4" t="n"/>
      <c r="J13" s="5" t="n"/>
      <c r="K13" s="4" t="n"/>
      <c r="L13" s="4" t="n"/>
    </row>
    <row r="14" ht="36" customHeight="1">
      <c r="A14" s="6" t="n"/>
      <c r="B14" s="6" t="n"/>
      <c r="C14" s="7" t="n"/>
      <c r="D14" s="7" t="n"/>
      <c r="E14" s="7" t="n"/>
      <c r="F14" s="7" t="n"/>
      <c r="G14" s="7" t="n"/>
      <c r="H14" s="7" t="n"/>
      <c r="I14" s="6" t="n"/>
      <c r="J14" s="7" t="n"/>
      <c r="K14" s="6" t="n"/>
      <c r="L14" s="6" t="n"/>
    </row>
    <row r="15" ht="36" customHeight="1">
      <c r="A15" s="4" t="n"/>
      <c r="B15" s="4" t="n"/>
      <c r="C15" s="5" t="n"/>
      <c r="D15" s="5" t="n"/>
      <c r="E15" s="5" t="n"/>
      <c r="F15" s="5" t="n"/>
      <c r="G15" s="5" t="n"/>
      <c r="H15" s="5" t="n"/>
      <c r="I15" s="4" t="n"/>
      <c r="J15" s="5" t="n"/>
      <c r="K15" s="4" t="n"/>
      <c r="L15" s="4" t="n"/>
    </row>
    <row r="16" ht="36" customHeight="1">
      <c r="A16" s="6" t="n"/>
      <c r="B16" s="6" t="n"/>
      <c r="C16" s="7" t="n"/>
      <c r="D16" s="7" t="n"/>
      <c r="E16" s="7" t="n"/>
      <c r="F16" s="7" t="n"/>
      <c r="G16" s="7" t="n"/>
      <c r="H16" s="7" t="n"/>
      <c r="I16" s="6" t="n"/>
      <c r="J16" s="7" t="n"/>
      <c r="K16" s="6" t="n"/>
      <c r="L16" s="6" t="n"/>
    </row>
    <row r="17" ht="36" customHeight="1">
      <c r="A17" s="4" t="n"/>
      <c r="B17" s="4" t="n"/>
      <c r="C17" s="5" t="n"/>
      <c r="D17" s="5" t="n"/>
      <c r="E17" s="5" t="n"/>
      <c r="F17" s="5" t="n"/>
      <c r="G17" s="5" t="n"/>
      <c r="H17" s="5" t="n"/>
      <c r="I17" s="4" t="n"/>
      <c r="J17" s="5" t="n"/>
      <c r="K17" s="4" t="n"/>
      <c r="L17" s="4" t="n"/>
    </row>
    <row r="18" ht="36" customHeight="1">
      <c r="A18" s="6" t="n"/>
      <c r="B18" s="6" t="n"/>
      <c r="C18" s="7" t="n"/>
      <c r="D18" s="7" t="n"/>
      <c r="E18" s="7" t="n"/>
      <c r="F18" s="7" t="n"/>
      <c r="G18" s="7" t="n"/>
      <c r="H18" s="7" t="n"/>
      <c r="I18" s="6" t="n"/>
      <c r="J18" s="7" t="n"/>
      <c r="K18" s="6" t="n"/>
      <c r="L18" s="6" t="n"/>
    </row>
    <row r="19" ht="36" customHeight="1">
      <c r="A19" s="4" t="n"/>
      <c r="B19" s="4" t="n"/>
      <c r="C19" s="5" t="n"/>
      <c r="D19" s="5" t="n"/>
      <c r="E19" s="5" t="n"/>
      <c r="F19" s="5" t="n"/>
      <c r="G19" s="5" t="n"/>
      <c r="H19" s="5" t="n"/>
      <c r="I19" s="4" t="n"/>
      <c r="J19" s="5" t="n"/>
      <c r="K19" s="4" t="n"/>
      <c r="L19" s="4" t="n"/>
    </row>
    <row r="20" ht="36" customHeight="1">
      <c r="A20" s="6" t="n"/>
      <c r="B20" s="6" t="n"/>
      <c r="C20" s="7" t="n"/>
      <c r="D20" s="7" t="n"/>
      <c r="E20" s="7" t="n"/>
      <c r="F20" s="7" t="n"/>
      <c r="G20" s="7" t="n"/>
      <c r="H20" s="7" t="n"/>
      <c r="I20" s="6" t="n"/>
      <c r="J20" s="7" t="n"/>
      <c r="K20" s="6" t="n"/>
      <c r="L20" s="6" t="n"/>
    </row>
    <row r="21" ht="36" customHeight="1">
      <c r="A21" s="4" t="n"/>
      <c r="B21" s="4" t="n"/>
      <c r="C21" s="5" t="n"/>
      <c r="D21" s="5" t="n"/>
      <c r="E21" s="5" t="n"/>
      <c r="F21" s="5" t="n"/>
      <c r="G21" s="5" t="n"/>
      <c r="H21" s="5" t="n"/>
      <c r="I21" s="4" t="n"/>
      <c r="J21" s="5" t="n"/>
      <c r="K21" s="4" t="n"/>
      <c r="L21" s="4" t="n"/>
    </row>
    <row r="22" ht="36" customHeight="1">
      <c r="A22" s="6" t="n"/>
      <c r="B22" s="6" t="n"/>
      <c r="C22" s="7" t="n"/>
      <c r="D22" s="7" t="n"/>
      <c r="E22" s="7" t="n"/>
      <c r="F22" s="7" t="n"/>
      <c r="G22" s="7" t="n"/>
      <c r="H22" s="7" t="n"/>
      <c r="I22" s="6" t="n"/>
      <c r="J22" s="7" t="n"/>
      <c r="K22" s="6" t="n"/>
      <c r="L22" s="6" t="n"/>
    </row>
    <row r="23" ht="36" customHeight="1">
      <c r="A23" s="4" t="n"/>
      <c r="B23" s="4" t="n"/>
      <c r="C23" s="5" t="n"/>
      <c r="D23" s="5" t="n"/>
      <c r="E23" s="5" t="n"/>
      <c r="F23" s="5" t="n"/>
      <c r="G23" s="5" t="n"/>
      <c r="H23" s="5" t="n"/>
      <c r="I23" s="4" t="n"/>
      <c r="J23" s="5" t="n"/>
      <c r="K23" s="4" t="n"/>
      <c r="L23" s="4" t="n"/>
    </row>
    <row r="24" ht="36" customHeight="1">
      <c r="A24" s="6" t="n"/>
      <c r="B24" s="6" t="n"/>
      <c r="C24" s="7" t="n"/>
      <c r="D24" s="7" t="n"/>
      <c r="E24" s="7" t="n"/>
      <c r="F24" s="7" t="n"/>
      <c r="G24" s="7" t="n"/>
      <c r="H24" s="7" t="n"/>
      <c r="I24" s="6" t="n"/>
      <c r="J24" s="7" t="n"/>
      <c r="K24" s="6" t="n"/>
      <c r="L24" s="6" t="n"/>
    </row>
    <row r="25" ht="36" customHeight="1">
      <c r="A25" s="4" t="n"/>
      <c r="B25" s="4" t="n"/>
      <c r="C25" s="5" t="n"/>
      <c r="D25" s="5" t="n"/>
      <c r="E25" s="5" t="n"/>
      <c r="F25" s="5" t="n"/>
      <c r="G25" s="5" t="n"/>
      <c r="H25" s="5" t="n"/>
      <c r="I25" s="4" t="n"/>
      <c r="J25" s="5" t="n"/>
      <c r="K25" s="4" t="n"/>
      <c r="L25" s="4" t="n"/>
    </row>
    <row r="26" ht="36" customHeight="1">
      <c r="A26" s="6" t="n"/>
      <c r="B26" s="6" t="n"/>
      <c r="C26" s="7" t="n"/>
      <c r="D26" s="7" t="n"/>
      <c r="E26" s="7" t="n"/>
      <c r="F26" s="7" t="n"/>
      <c r="G26" s="7" t="n"/>
      <c r="H26" s="7" t="n"/>
      <c r="I26" s="6" t="n"/>
      <c r="J26" s="7" t="n"/>
      <c r="K26" s="6" t="n"/>
      <c r="L26" s="6" t="n"/>
    </row>
    <row r="27" ht="36" customHeight="1">
      <c r="A27" s="4" t="n"/>
      <c r="B27" s="4" t="n"/>
      <c r="C27" s="5" t="n"/>
      <c r="D27" s="5" t="n"/>
      <c r="E27" s="5" t="n"/>
      <c r="F27" s="5" t="n"/>
      <c r="G27" s="5" t="n"/>
      <c r="H27" s="5" t="n"/>
      <c r="I27" s="4" t="n"/>
      <c r="J27" s="5" t="n"/>
      <c r="K27" s="4" t="n"/>
      <c r="L27" s="4" t="n"/>
    </row>
    <row r="28" ht="36" customHeight="1">
      <c r="A28" s="6" t="n"/>
      <c r="B28" s="6" t="n"/>
      <c r="C28" s="7" t="n"/>
      <c r="D28" s="7" t="n"/>
      <c r="E28" s="7" t="n"/>
      <c r="F28" s="7" t="n"/>
      <c r="G28" s="7" t="n"/>
      <c r="H28" s="7" t="n"/>
      <c r="I28" s="6" t="n"/>
      <c r="J28" s="7" t="n"/>
      <c r="K28" s="6" t="n"/>
      <c r="L28" s="6" t="n"/>
    </row>
    <row r="29" ht="36" customHeight="1">
      <c r="A29" s="4" t="n"/>
      <c r="B29" s="4" t="n"/>
      <c r="C29" s="5" t="n"/>
      <c r="D29" s="5" t="n"/>
      <c r="E29" s="5" t="n"/>
      <c r="F29" s="5" t="n"/>
      <c r="G29" s="5" t="n"/>
      <c r="H29" s="5" t="n"/>
      <c r="I29" s="4" t="n"/>
      <c r="J29" s="5" t="n"/>
      <c r="K29" s="4" t="n"/>
      <c r="L29" s="4" t="n"/>
    </row>
    <row r="30" ht="36" customHeight="1">
      <c r="A30" s="6" t="n"/>
      <c r="B30" s="6" t="n"/>
      <c r="C30" s="7" t="n"/>
      <c r="D30" s="7" t="n"/>
      <c r="E30" s="7" t="n"/>
      <c r="F30" s="7" t="n"/>
      <c r="G30" s="7" t="n"/>
      <c r="H30" s="7" t="n"/>
      <c r="I30" s="6" t="n"/>
      <c r="J30" s="7" t="n"/>
      <c r="K30" s="6" t="n"/>
      <c r="L30" s="6" t="n"/>
    </row>
    <row r="31" ht="36" customHeight="1">
      <c r="A31" s="4" t="n"/>
      <c r="B31" s="4" t="n"/>
      <c r="C31" s="5" t="n"/>
      <c r="D31" s="5" t="n"/>
      <c r="E31" s="5" t="n"/>
      <c r="F31" s="5" t="n"/>
      <c r="G31" s="5" t="n"/>
      <c r="H31" s="5" t="n"/>
      <c r="I31" s="4" t="n"/>
      <c r="J31" s="5" t="n"/>
      <c r="K31" s="4" t="n"/>
      <c r="L31" s="4" t="n"/>
    </row>
    <row r="32" ht="36" customHeight="1">
      <c r="A32" s="6" t="n"/>
      <c r="B32" s="6" t="n"/>
      <c r="C32" s="7" t="n"/>
      <c r="D32" s="7" t="n"/>
      <c r="E32" s="7" t="n"/>
      <c r="F32" s="7" t="n"/>
      <c r="G32" s="7" t="n"/>
      <c r="H32" s="7" t="n"/>
      <c r="I32" s="6" t="n"/>
      <c r="J32" s="7" t="n"/>
      <c r="K32" s="6" t="n"/>
      <c r="L32" s="6" t="n"/>
    </row>
    <row r="33" ht="36" customHeight="1">
      <c r="A33" s="4" t="n"/>
      <c r="B33" s="4" t="n"/>
      <c r="C33" s="5" t="n"/>
      <c r="D33" s="5" t="n"/>
      <c r="E33" s="5" t="n"/>
      <c r="F33" s="5" t="n"/>
      <c r="G33" s="5" t="n"/>
      <c r="H33" s="5" t="n"/>
      <c r="I33" s="4" t="n"/>
      <c r="J33" s="5" t="n"/>
      <c r="K33" s="4" t="n"/>
      <c r="L33" s="4" t="n"/>
    </row>
    <row r="34" ht="36" customHeight="1">
      <c r="A34" s="6" t="n"/>
      <c r="B34" s="6" t="n"/>
      <c r="C34" s="7" t="n"/>
      <c r="D34" s="7" t="n"/>
      <c r="E34" s="7" t="n"/>
      <c r="F34" s="7" t="n"/>
      <c r="G34" s="7" t="n"/>
      <c r="H34" s="7" t="n"/>
      <c r="I34" s="6" t="n"/>
      <c r="J34" s="7" t="n"/>
      <c r="K34" s="6" t="n"/>
      <c r="L34" s="6" t="n"/>
    </row>
    <row r="35" ht="36" customHeight="1">
      <c r="A35" s="4" t="n"/>
      <c r="B35" s="4" t="n"/>
      <c r="C35" s="5" t="n"/>
      <c r="D35" s="5" t="n"/>
      <c r="E35" s="5" t="n"/>
      <c r="F35" s="5" t="n"/>
      <c r="G35" s="5" t="n"/>
      <c r="H35" s="5" t="n"/>
      <c r="I35" s="4" t="n"/>
      <c r="J35" s="5" t="n"/>
      <c r="K35" s="4" t="n"/>
      <c r="L35" s="4" t="n"/>
    </row>
    <row r="36" ht="36" customHeight="1">
      <c r="A36" s="6" t="n"/>
      <c r="B36" s="6" t="n"/>
      <c r="C36" s="7" t="n"/>
      <c r="D36" s="7" t="n"/>
      <c r="E36" s="7" t="n"/>
      <c r="F36" s="7" t="n"/>
      <c r="G36" s="7" t="n"/>
      <c r="H36" s="7" t="n"/>
      <c r="I36" s="6" t="n"/>
      <c r="J36" s="7" t="n"/>
      <c r="K36" s="6" t="n"/>
      <c r="L36" s="6" t="n"/>
    </row>
    <row r="37" ht="36" customHeight="1">
      <c r="A37" s="4" t="n"/>
      <c r="B37" s="4" t="n"/>
      <c r="C37" s="5" t="n"/>
      <c r="D37" s="5" t="n"/>
      <c r="E37" s="5" t="n"/>
      <c r="F37" s="5" t="n"/>
      <c r="G37" s="5" t="n"/>
      <c r="H37" s="5" t="n"/>
      <c r="I37" s="4" t="n"/>
      <c r="J37" s="5" t="n"/>
      <c r="K37" s="4" t="n"/>
      <c r="L37" s="4" t="n"/>
    </row>
    <row r="38" ht="36" customHeight="1">
      <c r="A38" s="6" t="n"/>
      <c r="B38" s="6" t="n"/>
      <c r="C38" s="7" t="n"/>
      <c r="D38" s="7" t="n"/>
      <c r="E38" s="7" t="n"/>
      <c r="F38" s="7" t="n"/>
      <c r="G38" s="7" t="n"/>
      <c r="H38" s="7" t="n"/>
      <c r="I38" s="6" t="n"/>
      <c r="J38" s="7" t="n"/>
      <c r="K38" s="6" t="n"/>
      <c r="L38" s="6" t="n"/>
    </row>
    <row r="39" ht="36" customHeight="1">
      <c r="A39" s="4" t="n"/>
      <c r="B39" s="4" t="n"/>
      <c r="C39" s="5" t="n"/>
      <c r="D39" s="5" t="n"/>
      <c r="E39" s="5" t="n"/>
      <c r="F39" s="5" t="n"/>
      <c r="G39" s="5" t="n"/>
      <c r="H39" s="5" t="n"/>
      <c r="I39" s="4" t="n"/>
      <c r="J39" s="5" t="n"/>
      <c r="K39" s="4" t="n"/>
      <c r="L39" s="4" t="n"/>
    </row>
    <row r="40" ht="36" customHeight="1">
      <c r="A40" s="6" t="n"/>
      <c r="B40" s="6" t="n"/>
      <c r="C40" s="7" t="n"/>
      <c r="D40" s="7" t="n"/>
      <c r="E40" s="7" t="n"/>
      <c r="F40" s="7" t="n"/>
      <c r="G40" s="7" t="n"/>
      <c r="H40" s="7" t="n"/>
      <c r="I40" s="6" t="n"/>
      <c r="J40" s="7" t="n"/>
      <c r="K40" s="6" t="n"/>
      <c r="L40" s="6" t="n"/>
    </row>
    <row r="41" ht="36" customHeight="1">
      <c r="A41" s="4" t="n"/>
      <c r="B41" s="4" t="n"/>
      <c r="C41" s="5" t="n"/>
      <c r="D41" s="5" t="n"/>
      <c r="E41" s="5" t="n"/>
      <c r="F41" s="5" t="n"/>
      <c r="G41" s="5" t="n"/>
      <c r="H41" s="5" t="n"/>
      <c r="I41" s="4" t="n"/>
      <c r="J41" s="5" t="n"/>
      <c r="K41" s="4" t="n"/>
      <c r="L41" s="4" t="n"/>
    </row>
    <row r="42" ht="36" customHeight="1">
      <c r="A42" s="6" t="n"/>
      <c r="B42" s="6" t="n"/>
      <c r="C42" s="7" t="n"/>
      <c r="D42" s="7" t="n"/>
      <c r="E42" s="7" t="n"/>
      <c r="F42" s="7" t="n"/>
      <c r="G42" s="7" t="n"/>
      <c r="H42" s="7" t="n"/>
      <c r="I42" s="6" t="n"/>
      <c r="J42" s="7" t="n"/>
      <c r="K42" s="6" t="n"/>
      <c r="L42" s="6" t="n"/>
    </row>
    <row r="43" ht="36" customHeight="1">
      <c r="A43" s="4" t="n"/>
      <c r="B43" s="4" t="n"/>
      <c r="C43" s="5" t="n"/>
      <c r="D43" s="5" t="n"/>
      <c r="E43" s="5" t="n"/>
      <c r="F43" s="5" t="n"/>
      <c r="G43" s="5" t="n"/>
      <c r="H43" s="5" t="n"/>
      <c r="I43" s="4" t="n"/>
      <c r="J43" s="5" t="n"/>
      <c r="K43" s="4" t="n"/>
      <c r="L43" s="4" t="n"/>
    </row>
    <row r="44" ht="36" customHeight="1">
      <c r="A44" s="6" t="n"/>
      <c r="B44" s="6" t="n"/>
      <c r="C44" s="7" t="n"/>
      <c r="D44" s="7" t="n"/>
      <c r="E44" s="7" t="n"/>
      <c r="F44" s="7" t="n"/>
      <c r="G44" s="7" t="n"/>
      <c r="H44" s="7" t="n"/>
      <c r="I44" s="6" t="n"/>
      <c r="J44" s="7" t="n"/>
      <c r="K44" s="6" t="n"/>
      <c r="L44" s="6" t="n"/>
    </row>
    <row r="45" ht="36" customHeight="1">
      <c r="A45" s="4" t="n"/>
      <c r="B45" s="4" t="n"/>
      <c r="C45" s="5" t="n"/>
      <c r="D45" s="5" t="n"/>
      <c r="E45" s="5" t="n"/>
      <c r="F45" s="5" t="n"/>
      <c r="G45" s="5" t="n"/>
      <c r="H45" s="5" t="n"/>
      <c r="I45" s="4" t="n"/>
      <c r="J45" s="5" t="n"/>
      <c r="K45" s="4" t="n"/>
      <c r="L45" s="4" t="n"/>
    </row>
    <row r="46" ht="36" customHeight="1">
      <c r="A46" s="6" t="n"/>
      <c r="B46" s="6" t="n"/>
      <c r="C46" s="7" t="n"/>
      <c r="D46" s="7" t="n"/>
      <c r="E46" s="7" t="n"/>
      <c r="F46" s="7" t="n"/>
      <c r="G46" s="7" t="n"/>
      <c r="H46" s="7" t="n"/>
      <c r="I46" s="6" t="n"/>
      <c r="J46" s="7" t="n"/>
      <c r="K46" s="6" t="n"/>
      <c r="L46" s="6" t="n"/>
    </row>
    <row r="47" ht="36" customHeight="1">
      <c r="A47" s="4" t="n"/>
      <c r="B47" s="4" t="n"/>
      <c r="C47" s="5" t="n"/>
      <c r="D47" s="5" t="n"/>
      <c r="E47" s="5" t="n"/>
      <c r="F47" s="5" t="n"/>
      <c r="G47" s="5" t="n"/>
      <c r="H47" s="5" t="n"/>
      <c r="I47" s="4" t="n"/>
      <c r="J47" s="5" t="n"/>
      <c r="K47" s="4" t="n"/>
      <c r="L47" s="4" t="n"/>
    </row>
    <row r="48" ht="36" customHeight="1">
      <c r="A48" s="6" t="n"/>
      <c r="B48" s="6" t="n"/>
      <c r="C48" s="7" t="n"/>
      <c r="D48" s="7" t="n"/>
      <c r="E48" s="7" t="n"/>
      <c r="F48" s="7" t="n"/>
      <c r="G48" s="7" t="n"/>
      <c r="H48" s="7" t="n"/>
      <c r="I48" s="6" t="n"/>
      <c r="J48" s="7" t="n"/>
      <c r="K48" s="6" t="n"/>
      <c r="L48" s="6" t="n"/>
    </row>
    <row r="49" ht="36" customHeight="1">
      <c r="A49" s="4" t="n"/>
      <c r="B49" s="4" t="n"/>
      <c r="C49" s="5" t="n"/>
      <c r="D49" s="5" t="n"/>
      <c r="E49" s="5" t="n"/>
      <c r="F49" s="5" t="n"/>
      <c r="G49" s="5" t="n"/>
      <c r="H49" s="5" t="n"/>
      <c r="I49" s="4" t="n"/>
      <c r="J49" s="5" t="n"/>
      <c r="K49" s="4" t="n"/>
      <c r="L49" s="4" t="n"/>
    </row>
    <row r="50" ht="36" customHeight="1">
      <c r="A50" s="6" t="n"/>
      <c r="B50" s="6" t="n"/>
      <c r="C50" s="7" t="n"/>
      <c r="D50" s="7" t="n"/>
      <c r="E50" s="7" t="n"/>
      <c r="F50" s="7" t="n"/>
      <c r="G50" s="7" t="n"/>
      <c r="H50" s="7" t="n"/>
      <c r="I50" s="6" t="n"/>
      <c r="J50" s="7" t="n"/>
      <c r="K50" s="6" t="n"/>
      <c r="L50" s="6" t="n"/>
    </row>
    <row r="51" ht="36" customHeight="1">
      <c r="A51" s="4" t="n"/>
      <c r="B51" s="4" t="n"/>
      <c r="C51" s="5" t="n"/>
      <c r="D51" s="5" t="n"/>
      <c r="E51" s="5" t="n"/>
      <c r="F51" s="5" t="n"/>
      <c r="G51" s="5" t="n"/>
      <c r="H51" s="5" t="n"/>
      <c r="I51" s="4" t="n"/>
      <c r="J51" s="5" t="n"/>
      <c r="K51" s="4" t="n"/>
      <c r="L51" s="4" t="n"/>
    </row>
    <row r="52" ht="36" customHeight="1">
      <c r="A52" s="6" t="n"/>
      <c r="B52" s="6" t="n"/>
      <c r="C52" s="7" t="n"/>
      <c r="D52" s="7" t="n"/>
      <c r="E52" s="7" t="n"/>
      <c r="F52" s="7" t="n"/>
      <c r="G52" s="7" t="n"/>
      <c r="H52" s="7" t="n"/>
      <c r="I52" s="6" t="n"/>
      <c r="J52" s="7" t="n"/>
      <c r="K52" s="6" t="n"/>
      <c r="L52" s="6" t="n"/>
    </row>
    <row r="53" ht="36" customHeight="1">
      <c r="A53" s="4" t="n"/>
      <c r="B53" s="4" t="n"/>
      <c r="C53" s="5" t="n"/>
      <c r="D53" s="5" t="n"/>
      <c r="E53" s="5" t="n"/>
      <c r="F53" s="5" t="n"/>
      <c r="G53" s="5" t="n"/>
      <c r="H53" s="5" t="n"/>
      <c r="I53" s="4" t="n"/>
      <c r="J53" s="5" t="n"/>
      <c r="K53" s="4" t="n"/>
      <c r="L53" s="4" t="n"/>
    </row>
    <row r="54" ht="36" customHeight="1">
      <c r="A54" s="6" t="n"/>
      <c r="B54" s="6" t="n"/>
      <c r="C54" s="7" t="n"/>
      <c r="D54" s="7" t="n"/>
      <c r="E54" s="7" t="n"/>
      <c r="F54" s="7" t="n"/>
      <c r="G54" s="7" t="n"/>
      <c r="H54" s="7" t="n"/>
      <c r="I54" s="6" t="n"/>
      <c r="J54" s="7" t="n"/>
      <c r="K54" s="6" t="n"/>
      <c r="L54" s="6" t="n"/>
    </row>
    <row r="55" ht="36" customHeight="1">
      <c r="A55" s="4" t="n"/>
      <c r="B55" s="4" t="n"/>
      <c r="C55" s="5" t="n"/>
      <c r="D55" s="5" t="n"/>
      <c r="E55" s="5" t="n"/>
      <c r="F55" s="5" t="n"/>
      <c r="G55" s="5" t="n"/>
      <c r="H55" s="5" t="n"/>
      <c r="I55" s="4" t="n"/>
      <c r="J55" s="5" t="n"/>
      <c r="K55" s="4" t="n"/>
      <c r="L55" s="4" t="n"/>
    </row>
    <row r="56" ht="36" customHeight="1">
      <c r="A56" s="6" t="n"/>
      <c r="B56" s="6" t="n"/>
      <c r="C56" s="7" t="n"/>
      <c r="D56" s="7" t="n"/>
      <c r="E56" s="7" t="n"/>
      <c r="F56" s="7" t="n"/>
      <c r="G56" s="7" t="n"/>
      <c r="H56" s="7" t="n"/>
      <c r="I56" s="6" t="n"/>
      <c r="J56" s="7" t="n"/>
      <c r="K56" s="6" t="n"/>
      <c r="L56" s="6" t="n"/>
    </row>
    <row r="57" ht="36" customHeight="1">
      <c r="A57" s="4" t="n"/>
      <c r="B57" s="4" t="n"/>
      <c r="C57" s="5" t="n"/>
      <c r="D57" s="5" t="n"/>
      <c r="E57" s="5" t="n"/>
      <c r="F57" s="5" t="n"/>
      <c r="G57" s="5" t="n"/>
      <c r="H57" s="5" t="n"/>
      <c r="I57" s="4" t="n"/>
      <c r="J57" s="5" t="n"/>
      <c r="K57" s="4" t="n"/>
      <c r="L57" s="4" t="n"/>
    </row>
    <row r="58" ht="36" customHeight="1">
      <c r="A58" s="6" t="n"/>
      <c r="B58" s="6" t="n"/>
      <c r="C58" s="7" t="n"/>
      <c r="D58" s="7" t="n"/>
      <c r="E58" s="7" t="n"/>
      <c r="F58" s="7" t="n"/>
      <c r="G58" s="7" t="n"/>
      <c r="H58" s="7" t="n"/>
      <c r="I58" s="6" t="n"/>
      <c r="J58" s="7" t="n"/>
      <c r="K58" s="6" t="n"/>
      <c r="L58" s="6" t="n"/>
    </row>
    <row r="59" ht="36" customHeight="1">
      <c r="A59" s="4" t="n"/>
      <c r="B59" s="4" t="n"/>
      <c r="C59" s="5" t="n"/>
      <c r="D59" s="5" t="n"/>
      <c r="E59" s="5" t="n"/>
      <c r="F59" s="5" t="n"/>
      <c r="G59" s="5" t="n"/>
      <c r="H59" s="5" t="n"/>
      <c r="I59" s="4" t="n"/>
      <c r="J59" s="5" t="n"/>
      <c r="K59" s="4" t="n"/>
      <c r="L59" s="4" t="n"/>
    </row>
    <row r="60" ht="36" customHeight="1">
      <c r="A60" s="6" t="n"/>
      <c r="B60" s="6" t="n"/>
      <c r="C60" s="7" t="n"/>
      <c r="D60" s="7" t="n"/>
      <c r="E60" s="7" t="n"/>
      <c r="F60" s="7" t="n"/>
      <c r="G60" s="7" t="n"/>
      <c r="H60" s="7" t="n"/>
      <c r="I60" s="6" t="n"/>
      <c r="J60" s="7" t="n"/>
      <c r="K60" s="6" t="n"/>
      <c r="L60" s="6" t="n"/>
    </row>
    <row r="61" ht="36" customHeight="1">
      <c r="A61" s="4" t="n"/>
      <c r="B61" s="4" t="n"/>
      <c r="C61" s="5" t="n"/>
      <c r="D61" s="5" t="n"/>
      <c r="E61" s="5" t="n"/>
      <c r="F61" s="5" t="n"/>
      <c r="G61" s="5" t="n"/>
      <c r="H61" s="5" t="n"/>
      <c r="I61" s="4" t="n"/>
      <c r="J61" s="5" t="n"/>
      <c r="K61" s="4" t="n"/>
      <c r="L61" s="4" t="n"/>
    </row>
    <row r="62" ht="36" customHeight="1">
      <c r="A62" s="6" t="n"/>
      <c r="B62" s="6" t="n"/>
      <c r="C62" s="7" t="n"/>
      <c r="D62" s="7" t="n"/>
      <c r="E62" s="7" t="n"/>
      <c r="F62" s="7" t="n"/>
      <c r="G62" s="7" t="n"/>
      <c r="H62" s="7" t="n"/>
      <c r="I62" s="6" t="n"/>
      <c r="J62" s="7" t="n"/>
      <c r="K62" s="6" t="n"/>
      <c r="L62" s="6" t="n"/>
    </row>
    <row r="63" ht="36" customHeight="1">
      <c r="A63" s="4" t="n"/>
      <c r="B63" s="4" t="n"/>
      <c r="C63" s="5" t="n"/>
      <c r="D63" s="5" t="n"/>
      <c r="E63" s="5" t="n"/>
      <c r="F63" s="5" t="n"/>
      <c r="G63" s="5" t="n"/>
      <c r="H63" s="5" t="n"/>
      <c r="I63" s="4" t="n"/>
      <c r="J63" s="5" t="n"/>
      <c r="K63" s="4" t="n"/>
      <c r="L63" s="4" t="n"/>
    </row>
    <row r="64" ht="36" customHeight="1">
      <c r="A64" s="6" t="n"/>
      <c r="B64" s="6" t="n"/>
      <c r="C64" s="7" t="n"/>
      <c r="D64" s="7" t="n"/>
      <c r="E64" s="7" t="n"/>
      <c r="F64" s="7" t="n"/>
      <c r="G64" s="7" t="n"/>
      <c r="H64" s="7" t="n"/>
      <c r="I64" s="6" t="n"/>
      <c r="J64" s="7" t="n"/>
      <c r="K64" s="6" t="n"/>
      <c r="L64" s="6" t="n"/>
    </row>
    <row r="65" ht="36" customHeight="1">
      <c r="A65" s="4" t="n"/>
      <c r="B65" s="4" t="n"/>
      <c r="C65" s="5" t="n"/>
      <c r="D65" s="5" t="n"/>
      <c r="E65" s="5" t="n"/>
      <c r="F65" s="5" t="n"/>
      <c r="G65" s="5" t="n"/>
      <c r="H65" s="5" t="n"/>
      <c r="I65" s="4" t="n"/>
      <c r="J65" s="5" t="n"/>
      <c r="K65" s="4" t="n"/>
      <c r="L65" s="4" t="n"/>
    </row>
    <row r="66" ht="36" customHeight="1">
      <c r="A66" s="6" t="n"/>
      <c r="B66" s="6" t="n"/>
      <c r="C66" s="7" t="n"/>
      <c r="D66" s="7" t="n"/>
      <c r="E66" s="7" t="n"/>
      <c r="F66" s="7" t="n"/>
      <c r="G66" s="7" t="n"/>
      <c r="H66" s="7" t="n"/>
      <c r="I66" s="6" t="n"/>
      <c r="J66" s="7" t="n"/>
      <c r="K66" s="6" t="n"/>
      <c r="L66" s="6" t="n"/>
    </row>
    <row r="67" ht="36" customHeight="1">
      <c r="A67" s="4" t="n"/>
      <c r="B67" s="4" t="n"/>
      <c r="C67" s="5" t="n"/>
      <c r="D67" s="5" t="n"/>
      <c r="E67" s="5" t="n"/>
      <c r="F67" s="5" t="n"/>
      <c r="G67" s="5" t="n"/>
      <c r="H67" s="5" t="n"/>
      <c r="I67" s="4" t="n"/>
      <c r="J67" s="5" t="n"/>
      <c r="K67" s="4" t="n"/>
      <c r="L67" s="4" t="n"/>
    </row>
    <row r="68" ht="36" customHeight="1">
      <c r="A68" s="6" t="n"/>
      <c r="B68" s="6" t="n"/>
      <c r="C68" s="7" t="n"/>
      <c r="D68" s="7" t="n"/>
      <c r="E68" s="7" t="n"/>
      <c r="F68" s="7" t="n"/>
      <c r="G68" s="7" t="n"/>
      <c r="H68" s="7" t="n"/>
      <c r="I68" s="6" t="n"/>
      <c r="J68" s="7" t="n"/>
      <c r="K68" s="6" t="n"/>
      <c r="L68" s="6" t="n"/>
    </row>
    <row r="69" ht="36" customHeight="1">
      <c r="A69" s="4" t="n"/>
      <c r="B69" s="4" t="n"/>
      <c r="C69" s="5" t="n"/>
      <c r="D69" s="5" t="n"/>
      <c r="E69" s="5" t="n"/>
      <c r="F69" s="5" t="n"/>
      <c r="G69" s="5" t="n"/>
      <c r="H69" s="5" t="n"/>
      <c r="I69" s="4" t="n"/>
      <c r="J69" s="5" t="n"/>
      <c r="K69" s="4" t="n"/>
      <c r="L69" s="4" t="n"/>
    </row>
    <row r="70" ht="36" customHeight="1">
      <c r="A70" s="6" t="n"/>
      <c r="B70" s="6" t="n"/>
      <c r="C70" s="7" t="n"/>
      <c r="D70" s="7" t="n"/>
      <c r="E70" s="7" t="n"/>
      <c r="F70" s="7" t="n"/>
      <c r="G70" s="7" t="n"/>
      <c r="H70" s="7" t="n"/>
      <c r="I70" s="6" t="n"/>
      <c r="J70" s="7" t="n"/>
      <c r="K70" s="6" t="n"/>
      <c r="L70" s="6" t="n"/>
    </row>
    <row r="71" ht="36" customHeight="1">
      <c r="A71" s="4" t="n"/>
      <c r="B71" s="4" t="n"/>
      <c r="C71" s="5" t="n"/>
      <c r="D71" s="5" t="n"/>
      <c r="E71" s="5" t="n"/>
      <c r="F71" s="5" t="n"/>
      <c r="G71" s="5" t="n"/>
      <c r="H71" s="5" t="n"/>
      <c r="I71" s="4" t="n"/>
      <c r="J71" s="5" t="n"/>
      <c r="K71" s="4" t="n"/>
      <c r="L71" s="4" t="n"/>
    </row>
    <row r="72" ht="36" customHeight="1">
      <c r="A72" s="6" t="n"/>
      <c r="B72" s="6" t="n"/>
      <c r="C72" s="7" t="n"/>
      <c r="D72" s="7" t="n"/>
      <c r="E72" s="7" t="n"/>
      <c r="F72" s="7" t="n"/>
      <c r="G72" s="7" t="n"/>
      <c r="H72" s="7" t="n"/>
      <c r="I72" s="6" t="n"/>
      <c r="J72" s="7" t="n"/>
      <c r="K72" s="6" t="n"/>
      <c r="L72" s="6" t="n"/>
    </row>
    <row r="73" ht="36" customHeight="1">
      <c r="A73" s="4" t="n"/>
      <c r="B73" s="4" t="n"/>
      <c r="C73" s="5" t="n"/>
      <c r="D73" s="5" t="n"/>
      <c r="E73" s="5" t="n"/>
      <c r="F73" s="5" t="n"/>
      <c r="G73" s="5" t="n"/>
      <c r="H73" s="5" t="n"/>
      <c r="I73" s="4" t="n"/>
      <c r="J73" s="5" t="n"/>
      <c r="K73" s="4" t="n"/>
      <c r="L73" s="4" t="n"/>
    </row>
    <row r="74" ht="36" customHeight="1">
      <c r="A74" s="6" t="n"/>
      <c r="B74" s="6" t="n"/>
      <c r="C74" s="7" t="n"/>
      <c r="D74" s="7" t="n"/>
      <c r="E74" s="7" t="n"/>
      <c r="F74" s="7" t="n"/>
      <c r="G74" s="7" t="n"/>
      <c r="H74" s="7" t="n"/>
      <c r="I74" s="6" t="n"/>
      <c r="J74" s="7" t="n"/>
      <c r="K74" s="6" t="n"/>
      <c r="L74" s="6" t="n"/>
    </row>
    <row r="75" ht="36" customHeight="1">
      <c r="A75" s="4" t="n"/>
      <c r="B75" s="4" t="n"/>
      <c r="C75" s="5" t="n"/>
      <c r="D75" s="5" t="n"/>
      <c r="E75" s="5" t="n"/>
      <c r="F75" s="5" t="n"/>
      <c r="G75" s="5" t="n"/>
      <c r="H75" s="5" t="n"/>
      <c r="I75" s="4" t="n"/>
      <c r="J75" s="5" t="n"/>
      <c r="K75" s="4" t="n"/>
      <c r="L75" s="4" t="n"/>
    </row>
    <row r="76" ht="36" customHeight="1">
      <c r="A76" s="6" t="n"/>
      <c r="B76" s="6" t="n"/>
      <c r="C76" s="7" t="n"/>
      <c r="D76" s="7" t="n"/>
      <c r="E76" s="7" t="n"/>
      <c r="F76" s="7" t="n"/>
      <c r="G76" s="7" t="n"/>
      <c r="H76" s="7" t="n"/>
      <c r="I76" s="6" t="n"/>
      <c r="J76" s="7" t="n"/>
      <c r="K76" s="6" t="n"/>
      <c r="L76" s="6" t="n"/>
    </row>
    <row r="77" ht="36" customHeight="1">
      <c r="A77" s="4" t="n"/>
      <c r="B77" s="4" t="n"/>
      <c r="C77" s="5" t="n"/>
      <c r="D77" s="5" t="n"/>
      <c r="E77" s="5" t="n"/>
      <c r="F77" s="5" t="n"/>
      <c r="G77" s="5" t="n"/>
      <c r="H77" s="5" t="n"/>
      <c r="I77" s="4" t="n"/>
      <c r="J77" s="5" t="n"/>
      <c r="K77" s="4" t="n"/>
      <c r="L77" s="4" t="n"/>
    </row>
    <row r="78" ht="36" customHeight="1">
      <c r="A78" s="6" t="n"/>
      <c r="B78" s="6" t="n"/>
      <c r="C78" s="7" t="n"/>
      <c r="D78" s="7" t="n"/>
      <c r="E78" s="7" t="n"/>
      <c r="F78" s="7" t="n"/>
      <c r="G78" s="7" t="n"/>
      <c r="H78" s="7" t="n"/>
      <c r="I78" s="6" t="n"/>
      <c r="J78" s="7" t="n"/>
      <c r="K78" s="6" t="n"/>
      <c r="L78" s="6" t="n"/>
    </row>
    <row r="79" ht="36" customHeight="1">
      <c r="A79" s="4" t="n"/>
      <c r="B79" s="4" t="n"/>
      <c r="C79" s="5" t="n"/>
      <c r="D79" s="5" t="n"/>
      <c r="E79" s="5" t="n"/>
      <c r="F79" s="5" t="n"/>
      <c r="G79" s="5" t="n"/>
      <c r="H79" s="5" t="n"/>
      <c r="I79" s="4" t="n"/>
      <c r="J79" s="5" t="n"/>
      <c r="K79" s="4" t="n"/>
      <c r="L79" s="4" t="n"/>
    </row>
    <row r="80" ht="36" customHeight="1">
      <c r="A80" s="6" t="n"/>
      <c r="B80" s="6" t="n"/>
      <c r="C80" s="7" t="n"/>
      <c r="D80" s="7" t="n"/>
      <c r="E80" s="7" t="n"/>
      <c r="F80" s="7" t="n"/>
      <c r="G80" s="7" t="n"/>
      <c r="H80" s="7" t="n"/>
      <c r="I80" s="6" t="n"/>
      <c r="J80" s="7" t="n"/>
      <c r="K80" s="6" t="n"/>
      <c r="L80" s="6" t="n"/>
    </row>
    <row r="81" ht="36" customHeight="1">
      <c r="A81" s="4" t="n"/>
      <c r="B81" s="4" t="n"/>
      <c r="C81" s="5" t="n"/>
      <c r="D81" s="5" t="n"/>
      <c r="E81" s="5" t="n"/>
      <c r="F81" s="5" t="n"/>
      <c r="G81" s="5" t="n"/>
      <c r="H81" s="5" t="n"/>
      <c r="I81" s="4" t="n"/>
      <c r="J81" s="5" t="n"/>
      <c r="K81" s="4" t="n"/>
      <c r="L81" s="4" t="n"/>
    </row>
    <row r="82" ht="36" customHeight="1">
      <c r="A82" s="6" t="n"/>
      <c r="B82" s="6" t="n"/>
      <c r="C82" s="7" t="n"/>
      <c r="D82" s="7" t="n"/>
      <c r="E82" s="7" t="n"/>
      <c r="F82" s="7" t="n"/>
      <c r="G82" s="7" t="n"/>
      <c r="H82" s="7" t="n"/>
      <c r="I82" s="6" t="n"/>
      <c r="J82" s="7" t="n"/>
      <c r="K82" s="6" t="n"/>
      <c r="L82" s="6" t="n"/>
    </row>
    <row r="83" ht="36" customHeight="1">
      <c r="A83" s="4" t="n"/>
      <c r="B83" s="4" t="n"/>
      <c r="C83" s="5" t="n"/>
      <c r="D83" s="5" t="n"/>
      <c r="E83" s="5" t="n"/>
      <c r="F83" s="5" t="n"/>
      <c r="G83" s="5" t="n"/>
      <c r="H83" s="5" t="n"/>
      <c r="I83" s="4" t="n"/>
      <c r="J83" s="5" t="n"/>
      <c r="K83" s="4" t="n"/>
      <c r="L83" s="4" t="n"/>
    </row>
    <row r="84" ht="36" customHeight="1">
      <c r="A84" s="6" t="n"/>
      <c r="B84" s="6" t="n"/>
      <c r="C84" s="7" t="n"/>
      <c r="D84" s="7" t="n"/>
      <c r="E84" s="7" t="n"/>
      <c r="F84" s="7" t="n"/>
      <c r="G84" s="7" t="n"/>
      <c r="H84" s="7" t="n"/>
      <c r="I84" s="6" t="n"/>
      <c r="J84" s="7" t="n"/>
      <c r="K84" s="6" t="n"/>
      <c r="L84" s="6" t="n"/>
    </row>
    <row r="85" ht="36" customHeight="1">
      <c r="A85" s="4" t="n"/>
      <c r="B85" s="4" t="n"/>
      <c r="C85" s="5" t="n"/>
      <c r="D85" s="5" t="n"/>
      <c r="E85" s="5" t="n"/>
      <c r="F85" s="5" t="n"/>
      <c r="G85" s="5" t="n"/>
      <c r="H85" s="5" t="n"/>
      <c r="I85" s="4" t="n"/>
      <c r="J85" s="5" t="n"/>
      <c r="K85" s="4" t="n"/>
      <c r="L85" s="4" t="n"/>
    </row>
    <row r="86" ht="36" customHeight="1">
      <c r="A86" s="6" t="n"/>
      <c r="B86" s="6" t="n"/>
      <c r="C86" s="7" t="n"/>
      <c r="D86" s="7" t="n"/>
      <c r="E86" s="7" t="n"/>
      <c r="F86" s="7" t="n"/>
      <c r="G86" s="7" t="n"/>
      <c r="H86" s="7" t="n"/>
      <c r="I86" s="6" t="n"/>
      <c r="J86" s="7" t="n"/>
      <c r="K86" s="6" t="n"/>
      <c r="L86" s="6" t="n"/>
    </row>
    <row r="87" ht="36" customHeight="1">
      <c r="A87" s="4" t="n"/>
      <c r="B87" s="4" t="n"/>
      <c r="C87" s="5" t="n"/>
      <c r="D87" s="5" t="n"/>
      <c r="E87" s="5" t="n"/>
      <c r="F87" s="5" t="n"/>
      <c r="G87" s="5" t="n"/>
      <c r="H87" s="5" t="n"/>
      <c r="I87" s="4" t="n"/>
      <c r="J87" s="5" t="n"/>
      <c r="K87" s="4" t="n"/>
      <c r="L87" s="4" t="n"/>
    </row>
  </sheetData>
  <mergeCells count="2">
    <mergeCell ref="A2:L2"/>
    <mergeCell ref="A1:L1"/>
  </mergeCells>
  <conditionalFormatting sqref="K5:K87">
    <cfRule type="expression" priority="1" dxfId="0">
      <formula>$K5="極高"</formula>
    </cfRule>
    <cfRule type="expression" priority="2" dxfId="1">
      <formula>$K5="高"</formula>
    </cfRule>
    <cfRule type="expression" priority="3" dxfId="2">
      <formula>$K5="中"</formula>
    </cfRule>
  </conditionalFormatting>
  <conditionalFormatting sqref="L5:L87">
    <cfRule type="expression" priority="4" dxfId="3">
      <formula>OR($L5="已實作",$L5="已完成")</formula>
    </cfRule>
    <cfRule type="expression" priority="5" dxfId="0">
      <formula>$L5="已爭議"</formula>
    </cfRule>
    <cfRule type="expression" priority="6" dxfId="4">
      <formula>$L5="進行中"</formula>
    </cfRule>
  </conditionalFormatting>
  <conditionalFormatting sqref="A5:L87">
    <cfRule type="expression" priority="7" dxfId="5">
      <formula>AND($J5="",OR($K5="高",$K5="極高"))</formula>
    </cfRule>
  </conditionalFormatting>
  <dataValidations count="5">
    <dataValidation sqref="C5:C87" showDropDown="0" showInputMessage="0" showErrorMessage="0" allowBlank="1" type="list">
      <formula1>"Weekly Sync,Email,Slack,電話,實體會議,書面公文,其他"</formula1>
    </dataValidation>
    <dataValidation sqref="D5:D87" showDropDown="0" showInputMessage="0" showErrorMessage="0" allowBlank="1" type="list">
      <formula1>"規格確認,例外處理,口頭承諾,變更決議,技術選型,時程調整,風險接受,其他"</formula1>
    </dataValidation>
    <dataValidation sqref="I5:I87" showDropDown="0" showInputMessage="0" showErrorMessage="0" allowBlank="1" type="list">
      <formula1>"書面 Email,會議紀錄,會議錄音,Slack 截圖,電話錄音,公文,系統截圖,無直接證據"</formula1>
    </dataValidation>
    <dataValidation sqref="K5:K87" showDropDown="0" showInputMessage="0" showErrorMessage="0" allowBlank="1" type="list">
      <formula1>"低,中,高,極高"</formula1>
    </dataValidation>
    <dataValidation sqref="L5:L87" showDropDown="0" showInputMessage="0" showErrorMessage="0" allowBlank="1" type="list">
      <formula1>"待追蹤,進行中,已實作,已完成,已放棄,已爭議"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6" customHeight="1">
      <c r="A1" s="1" t="inlineStr">
        <is>
          <t>決策紀錄統計儀表板</t>
        </is>
      </c>
    </row>
    <row r="2" ht="22" customHeight="1">
      <c r="A2" s="8" t="inlineStr">
        <is>
          <t>即時統計各類決策與風險分布，協助 PM 定期盤點潛在爭議點</t>
        </is>
      </c>
    </row>
    <row r="4" ht="28" customHeight="1">
      <c r="A4" s="9" t="inlineStr">
        <is>
          <t>一、決策概況</t>
        </is>
      </c>
    </row>
    <row r="5" ht="22" customHeight="1">
      <c r="A5" s="10" t="inlineStr">
        <is>
          <t>總決策數</t>
        </is>
      </c>
      <c r="B5" s="11" t="n"/>
      <c r="C5" s="10" t="inlineStr">
        <is>
          <t>進行中</t>
        </is>
      </c>
      <c r="D5" s="11" t="n"/>
      <c r="E5" s="10" t="inlineStr">
        <is>
          <t>已實作 / 完成</t>
        </is>
      </c>
      <c r="F5" s="11" t="n"/>
    </row>
    <row r="6" ht="36" customHeight="1">
      <c r="A6" s="12">
        <f>COUNTA('Decision Log'!A5:A100)</f>
        <v/>
      </c>
      <c r="B6" s="11" t="n"/>
      <c r="C6" s="12">
        <f>COUNTIF('Decision Log'!L5:L100,"進行中")</f>
        <v/>
      </c>
      <c r="D6" s="11" t="n"/>
      <c r="E6" s="12">
        <f>COUNTIF('Decision Log'!L5:L100,"已實作")+COUNTIF('Decision Log'!L5:L100,"已完成")</f>
        <v/>
      </c>
      <c r="F6" s="11" t="n"/>
    </row>
    <row r="7" ht="18" customHeight="1">
      <c r="A7" s="13" t="inlineStr">
        <is>
          <t>筆</t>
        </is>
      </c>
      <c r="B7" s="11" t="n"/>
      <c r="C7" s="13" t="inlineStr">
        <is>
          <t>筆</t>
        </is>
      </c>
      <c r="D7" s="11" t="n"/>
      <c r="E7" s="13" t="inlineStr">
        <is>
          <t>筆</t>
        </is>
      </c>
      <c r="F7" s="11" t="n"/>
    </row>
    <row r="9" ht="22" customHeight="1">
      <c r="A9" s="10" t="inlineStr">
        <is>
          <t>高風險</t>
        </is>
      </c>
      <c r="B9" s="11" t="n"/>
      <c r="C9" s="10" t="inlineStr">
        <is>
          <t>無證據警示</t>
        </is>
      </c>
      <c r="D9" s="11" t="n"/>
      <c r="E9" s="10" t="inlineStr">
        <is>
          <t>爭議中</t>
        </is>
      </c>
      <c r="F9" s="11" t="n"/>
    </row>
    <row r="10" ht="36" customHeight="1">
      <c r="A10" s="14">
        <f>COUNTIF('Decision Log'!K5:K100,"高")+COUNTIF('Decision Log'!K5:K100,"極高")</f>
        <v/>
      </c>
      <c r="B10" s="11" t="n"/>
      <c r="C10" s="14">
        <f>COUNTIFS('Decision Log'!J5:J100,"",'Decision Log'!A5:A100,"&lt;&gt;")</f>
        <v/>
      </c>
      <c r="D10" s="11" t="n"/>
      <c r="E10" s="14">
        <f>COUNTIF('Decision Log'!L5:L100,"已爭議")</f>
        <v/>
      </c>
      <c r="F10" s="11" t="n"/>
    </row>
    <row r="11" ht="18" customHeight="1">
      <c r="A11" s="13" t="inlineStr">
        <is>
          <t>筆</t>
        </is>
      </c>
      <c r="B11" s="11" t="n"/>
      <c r="C11" s="13" t="inlineStr">
        <is>
          <t>筆</t>
        </is>
      </c>
      <c r="D11" s="11" t="n"/>
      <c r="E11" s="13" t="inlineStr">
        <is>
          <t>筆</t>
        </is>
      </c>
      <c r="F11" s="11" t="n"/>
    </row>
    <row r="14" ht="28" customHeight="1">
      <c r="A14" s="9" t="inlineStr">
        <is>
          <t>二、決策類型分布</t>
        </is>
      </c>
    </row>
    <row r="15">
      <c r="A15" s="15" t="inlineStr">
        <is>
          <t>類型</t>
        </is>
      </c>
      <c r="B15" s="15" t="inlineStr">
        <is>
          <t>筆數</t>
        </is>
      </c>
      <c r="C15" s="15" t="inlineStr">
        <is>
          <t>高風險數</t>
        </is>
      </c>
    </row>
    <row r="16" ht="22" customHeight="1">
      <c r="A16" s="16" t="inlineStr">
        <is>
          <t>規格確認</t>
        </is>
      </c>
      <c r="B16" s="17">
        <f>COUNTIF('Decision Log'!D5:D100,"規格確認")</f>
        <v/>
      </c>
      <c r="C16" s="17">
        <f>COUNTIFS('Decision Log'!D5:D100,"規格確認",'Decision Log'!K5:K100,"高")+COUNTIFS('Decision Log'!D5:D100,"規格確認",'Decision Log'!K5:K100,"極高")</f>
        <v/>
      </c>
    </row>
    <row r="17" ht="22" customHeight="1">
      <c r="A17" s="18" t="inlineStr">
        <is>
          <t>例外處理</t>
        </is>
      </c>
      <c r="B17" s="19">
        <f>COUNTIF('Decision Log'!D5:D100,"例外處理")</f>
        <v/>
      </c>
      <c r="C17" s="19">
        <f>COUNTIFS('Decision Log'!D5:D100,"例外處理",'Decision Log'!K5:K100,"高")+COUNTIFS('Decision Log'!D5:D100,"例外處理",'Decision Log'!K5:K100,"極高")</f>
        <v/>
      </c>
    </row>
    <row r="18" ht="22" customHeight="1">
      <c r="A18" s="16" t="inlineStr">
        <is>
          <t>口頭承諾</t>
        </is>
      </c>
      <c r="B18" s="17">
        <f>COUNTIF('Decision Log'!D5:D100,"口頭承諾")</f>
        <v/>
      </c>
      <c r="C18" s="17">
        <f>COUNTIFS('Decision Log'!D5:D100,"口頭承諾",'Decision Log'!K5:K100,"高")+COUNTIFS('Decision Log'!D5:D100,"口頭承諾",'Decision Log'!K5:K100,"極高")</f>
        <v/>
      </c>
    </row>
    <row r="19" ht="22" customHeight="1">
      <c r="A19" s="18" t="inlineStr">
        <is>
          <t>變更決議</t>
        </is>
      </c>
      <c r="B19" s="19">
        <f>COUNTIF('Decision Log'!D5:D100,"變更決議")</f>
        <v/>
      </c>
      <c r="C19" s="19">
        <f>COUNTIFS('Decision Log'!D5:D100,"變更決議",'Decision Log'!K5:K100,"高")+COUNTIFS('Decision Log'!D5:D100,"變更決議",'Decision Log'!K5:K100,"極高")</f>
        <v/>
      </c>
    </row>
    <row r="20" ht="22" customHeight="1">
      <c r="A20" s="16" t="inlineStr">
        <is>
          <t>技術選型</t>
        </is>
      </c>
      <c r="B20" s="17">
        <f>COUNTIF('Decision Log'!D5:D100,"技術選型")</f>
        <v/>
      </c>
      <c r="C20" s="17">
        <f>COUNTIFS('Decision Log'!D5:D100,"技術選型",'Decision Log'!K5:K100,"高")+COUNTIFS('Decision Log'!D5:D100,"技術選型",'Decision Log'!K5:K100,"極高")</f>
        <v/>
      </c>
    </row>
    <row r="21" ht="22" customHeight="1">
      <c r="A21" s="18" t="inlineStr">
        <is>
          <t>時程調整</t>
        </is>
      </c>
      <c r="B21" s="19">
        <f>COUNTIF('Decision Log'!D5:D100,"時程調整")</f>
        <v/>
      </c>
      <c r="C21" s="19">
        <f>COUNTIFS('Decision Log'!D5:D100,"時程調整",'Decision Log'!K5:K100,"高")+COUNTIFS('Decision Log'!D5:D100,"時程調整",'Decision Log'!K5:K100,"極高")</f>
        <v/>
      </c>
    </row>
    <row r="22" ht="22" customHeight="1">
      <c r="A22" s="16" t="inlineStr">
        <is>
          <t>風險接受</t>
        </is>
      </c>
      <c r="B22" s="17">
        <f>COUNTIF('Decision Log'!D5:D100,"風險接受")</f>
        <v/>
      </c>
      <c r="C22" s="17">
        <f>COUNTIFS('Decision Log'!D5:D100,"風險接受",'Decision Log'!K5:K100,"高")+COUNTIFS('Decision Log'!D5:D100,"風險接受",'Decision Log'!K5:K100,"極高")</f>
        <v/>
      </c>
    </row>
  </sheetData>
  <mergeCells count="22">
    <mergeCell ref="C6:D6"/>
    <mergeCell ref="A11:B11"/>
    <mergeCell ref="C5:D5"/>
    <mergeCell ref="E5:F5"/>
    <mergeCell ref="A6:B6"/>
    <mergeCell ref="A2:F2"/>
    <mergeCell ref="C10:D10"/>
    <mergeCell ref="A7:B7"/>
    <mergeCell ref="E10:F10"/>
    <mergeCell ref="A14:F14"/>
    <mergeCell ref="A4:F4"/>
    <mergeCell ref="C9:D9"/>
    <mergeCell ref="E9:F9"/>
    <mergeCell ref="E6:F6"/>
    <mergeCell ref="C11:D11"/>
    <mergeCell ref="E11:F11"/>
    <mergeCell ref="A5:B5"/>
    <mergeCell ref="C7:D7"/>
    <mergeCell ref="E7:F7"/>
    <mergeCell ref="A1:F1"/>
    <mergeCell ref="A10:B10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36" customHeight="1">
      <c r="A1" s="1" t="inlineStr">
        <is>
          <t>決策紀錄簿使用指南</t>
        </is>
      </c>
    </row>
    <row r="2" ht="24" customHeight="1">
      <c r="A2" s="20" t="inlineStr">
        <is>
          <t>⚠ 這是內部自保工具，客戶翻臉時的證據來源 — 比合約條款更重要</t>
        </is>
      </c>
    </row>
    <row r="3" ht="8" customHeight="1"/>
    <row r="4" ht="26" customHeight="1">
      <c r="A4" s="9" t="inlineStr">
        <is>
          <t>一、為什麼要用這個工具？</t>
        </is>
      </c>
    </row>
    <row r="5" ht="26" customHeight="1">
      <c r="A5" s="21" t="inlineStr">
        <is>
          <t>問題</t>
        </is>
      </c>
      <c r="B5" s="5" t="inlineStr">
        <is>
          <t>客戶會忘記 / 否認 / 改口過去的承諾，尤其是口頭或 Slack 上的「順口答應」</t>
        </is>
      </c>
    </row>
    <row r="6" ht="26" customHeight="1">
      <c r="A6" s="21" t="inlineStr">
        <is>
          <t>解決方案</t>
        </is>
      </c>
      <c r="B6" s="5" t="inlineStr">
        <is>
          <t>把所有關鍵決策集中記錄，並配上證據連結（Email / 截圖 / 錄音）</t>
        </is>
      </c>
    </row>
    <row r="7" ht="26" customHeight="1">
      <c r="A7" s="21" t="inlineStr">
        <is>
          <t>使用時機</t>
        </is>
      </c>
      <c r="B7" s="5" t="inlineStr">
        <is>
          <t>每次 Weekly Sync、客戶來電、Slack 重要對話後，立即補登一筆</t>
        </is>
      </c>
    </row>
    <row r="8" ht="26" customHeight="1">
      <c r="A8" s="21" t="inlineStr">
        <is>
          <t>效益</t>
        </is>
      </c>
      <c r="B8" s="5" t="inlineStr">
        <is>
          <t>合約談判、驗收爭議、CR 認定時，能隨時翻出「你當時同意的」佐證</t>
        </is>
      </c>
    </row>
    <row r="9" ht="8" customHeight="1"/>
    <row r="10" ht="26" customHeight="1">
      <c r="A10" s="9" t="inlineStr">
        <is>
          <t>二、欄位填寫規則</t>
        </is>
      </c>
    </row>
    <row r="11" ht="26" customHeight="1">
      <c r="A11" s="21" t="inlineStr">
        <is>
          <t>編號</t>
        </is>
      </c>
      <c r="B11" s="5" t="inlineStr">
        <is>
          <t>DL-001 流水號制，即使作廢也不重用</t>
        </is>
      </c>
    </row>
    <row r="12" ht="26" customHeight="1">
      <c r="A12" s="21" t="inlineStr">
        <is>
          <t>日期</t>
        </is>
      </c>
      <c r="B12" s="5" t="inlineStr">
        <is>
          <t>決策發生當天，非記錄當天</t>
        </is>
      </c>
    </row>
    <row r="13" ht="26" customHeight="1">
      <c r="A13" s="21" t="inlineStr">
        <is>
          <t>來源</t>
        </is>
      </c>
      <c r="B13" s="5" t="inlineStr">
        <is>
          <t>Weekly Sync / Email / Slack / 電話 / 實體會議 / 書面公文 / 其他</t>
        </is>
      </c>
    </row>
    <row r="14" ht="26" customHeight="1">
      <c r="A14" s="21" t="inlineStr">
        <is>
          <t>決策類型</t>
        </is>
      </c>
      <c r="B14" s="5" t="inlineStr">
        <is>
          <t>規格確認 / 例外處理 / 口頭承諾 / 變更決議 / 技術選型 / 時程調整 / 風險接受</t>
        </is>
      </c>
    </row>
    <row r="15" ht="26" customHeight="1">
      <c r="A15" s="21" t="inlineStr">
        <is>
          <t>關聯模組</t>
        </is>
      </c>
      <c r="B15" s="5" t="inlineStr">
        <is>
          <t>該決策影響的模組（L0 / L1 / L2... 或「整體」）</t>
        </is>
      </c>
    </row>
    <row r="16" ht="26" customHeight="1">
      <c r="A16" s="21" t="inlineStr">
        <is>
          <t>決策內容</t>
        </is>
      </c>
      <c r="B16" s="5" t="inlineStr">
        <is>
          <t>客戶決策的具體內容，要寫清楚「誰說什麼」而非模糊總結</t>
        </is>
      </c>
    </row>
    <row r="17" ht="26" customHeight="1">
      <c r="A17" s="21" t="inlineStr">
        <is>
          <t>決策依據</t>
        </is>
      </c>
      <c r="B17" s="5" t="inlineStr">
        <is>
          <t>客戶提出的理由、背景、依據法規等，幫助未來重新理解當下脈絡</t>
        </is>
      </c>
    </row>
    <row r="18" ht="26" customHeight="1">
      <c r="A18" s="21" t="inlineStr">
        <is>
          <t>參與者</t>
        </is>
      </c>
      <c r="B18" s="5" t="inlineStr">
        <is>
          <t>出席 / 參與本次決策的所有人，含客戶端與開發端</t>
        </is>
      </c>
    </row>
    <row r="19" ht="26" customHeight="1">
      <c r="A19" s="21" t="inlineStr">
        <is>
          <t>客戶確認方式</t>
        </is>
      </c>
      <c r="B19" s="5" t="inlineStr">
        <is>
          <t>書面 Email / 會議紀錄 / 會議錄音 / Slack 截圖 / 電話錄音 / 公文 / 系統截圖 / 無直接證據</t>
        </is>
      </c>
    </row>
    <row r="20" ht="26" customHeight="1">
      <c r="A20" s="21" t="inlineStr">
        <is>
          <t>證據連結</t>
        </is>
      </c>
      <c r="B20" s="5" t="inlineStr">
        <is>
          <t>檔案路徑、雲端連結、截圖檔名等可找回證據的索引</t>
        </is>
      </c>
    </row>
    <row r="21" ht="26" customHeight="1">
      <c r="A21" s="21" t="inlineStr">
        <is>
          <t>風險等級</t>
        </is>
      </c>
      <c r="B21" s="5" t="inlineStr">
        <is>
          <t>低 / 中 / 高 / 極高 — 依「若客戶反悔對專案衝擊程度」評估</t>
        </is>
      </c>
    </row>
    <row r="22" ht="26" customHeight="1">
      <c r="A22" s="21" t="inlineStr">
        <is>
          <t>追蹤狀態</t>
        </is>
      </c>
      <c r="B22" s="5" t="inlineStr">
        <is>
          <t>待追蹤 / 進行中 / 已實作 / 已完成 / 已放棄 / 已爭議</t>
        </is>
      </c>
    </row>
    <row r="23" ht="8" customHeight="1"/>
    <row r="24" ht="26" customHeight="1">
      <c r="A24" s="9" t="inlineStr">
        <is>
          <t>三、什麼情況必須登記？</t>
        </is>
      </c>
    </row>
    <row r="25" ht="26" customHeight="1">
      <c r="A25" s="21" t="inlineStr">
        <is>
          <t>✓ 必登</t>
        </is>
      </c>
      <c r="B25" s="5" t="inlineStr">
        <is>
          <t>所有 Weekly Sync 會議中的分類決定（Bug vs 微調 vs CR）</t>
        </is>
      </c>
    </row>
    <row r="26" ht="26" customHeight="1">
      <c r="A26" s="21" t="inlineStr">
        <is>
          <t>✓ 必登</t>
        </is>
      </c>
      <c r="B26" s="5" t="inlineStr">
        <is>
          <t>客戶口頭同意的例外處理（違反原需求確認單的任何事）</t>
        </is>
      </c>
    </row>
    <row r="27" ht="26" customHeight="1">
      <c r="A27" s="21" t="inlineStr">
        <is>
          <t>✓ 必登</t>
        </is>
      </c>
      <c r="B27" s="5" t="inlineStr">
        <is>
          <t>客戶 Slack 或電話中對時程、範圍、功能的承諾</t>
        </is>
      </c>
    </row>
    <row r="28" ht="26" customHeight="1">
      <c r="A28" s="21" t="inlineStr">
        <is>
          <t>✓ 必登</t>
        </is>
      </c>
      <c r="B28" s="5" t="inlineStr">
        <is>
          <t>爭議事件的雙方立場與當下結論</t>
        </is>
      </c>
    </row>
    <row r="29" ht="26" customHeight="1">
      <c r="A29" s="21" t="inlineStr">
        <is>
          <t>✓ 必登</t>
        </is>
      </c>
      <c r="B29" s="5" t="inlineStr">
        <is>
          <t>技術選型決策（資料庫、框架、第三方服務）</t>
        </is>
      </c>
    </row>
    <row r="30" ht="26" customHeight="1">
      <c r="A30" s="22" t="inlineStr">
        <is>
          <t>✗ 不用登</t>
        </is>
      </c>
      <c r="B30" s="5" t="inlineStr">
        <is>
          <t>合約內已明列的既定事項（已在需求確認單上）</t>
        </is>
      </c>
    </row>
    <row r="31" ht="26" customHeight="1">
      <c r="A31" s="22" t="inlineStr">
        <is>
          <t>✗ 不用登</t>
        </is>
      </c>
      <c r="B31" s="5" t="inlineStr">
        <is>
          <t>一般 Bug 修復的技術決定</t>
        </is>
      </c>
    </row>
    <row r="32" ht="8" customHeight="1"/>
    <row r="33" ht="26" customHeight="1">
      <c r="A33" s="9" t="inlineStr">
        <is>
          <t>四、重要警告</t>
        </is>
      </c>
    </row>
    <row r="34" ht="26" customHeight="1">
      <c r="A34" s="22" t="inlineStr">
        <is>
          <t>無證據 = 沒發生</t>
        </is>
      </c>
      <c r="B34" s="5" t="inlineStr">
        <is>
          <t>若風險為「高」或「極高」但無證據連結，整列會自動變紅底警示</t>
        </is>
      </c>
    </row>
    <row r="35" ht="26" customHeight="1">
      <c r="A35" s="22" t="inlineStr">
        <is>
          <t>當天就登</t>
        </is>
      </c>
      <c r="B35" s="5" t="inlineStr">
        <is>
          <t>事後補登容易遺漏細節，也會讓客戶質疑真實性</t>
        </is>
      </c>
    </row>
    <row r="36" ht="26" customHeight="1">
      <c r="A36" s="22" t="inlineStr">
        <is>
          <t>客觀事實</t>
        </is>
      </c>
      <c r="B36" s="5" t="inlineStr">
        <is>
          <t>只記錄「誰說了什麼」，不要加個人評斷或情緒</t>
        </is>
      </c>
    </row>
    <row r="37" ht="26" customHeight="1">
      <c r="A37" s="22" t="inlineStr">
        <is>
          <t>補強證據</t>
        </is>
      </c>
      <c r="B37" s="5" t="inlineStr">
        <is>
          <t>若是口頭承諾，事後寄一封 Email「確認一下剛才的對話」把對方回覆存下</t>
        </is>
      </c>
    </row>
    <row r="38" ht="8" customHeight="1"/>
    <row r="39" ht="26" customHeight="1">
      <c r="A39" s="9" t="inlineStr">
        <is>
          <t>五、實戰範例</t>
        </is>
      </c>
    </row>
    <row r="40" ht="26" customHeight="1">
      <c r="A40" s="21" t="inlineStr">
        <is>
          <t>情境 1</t>
        </is>
      </c>
      <c r="B40" s="5" t="inlineStr">
        <is>
          <t>客戶在會議中說「晉升流程可以先按原設計」→ 登錄為「規格確認」，風險「中」</t>
        </is>
      </c>
    </row>
    <row r="41" ht="26" customHeight="1">
      <c r="A41" s="21" t="inlineStr">
        <is>
          <t>情境 2</t>
        </is>
      </c>
      <c r="B41" s="5" t="inlineStr">
        <is>
          <t>客戶 Slack 說「這個欄位改一下不用走 CR 吧」→ 登錄為「口頭承諾」，風險「高」，馬上補寄 Email 確認</t>
        </is>
      </c>
    </row>
    <row r="42" ht="26" customHeight="1">
      <c r="A42" s="21" t="inlineStr">
        <is>
          <t>情境 3</t>
        </is>
      </c>
      <c r="B42" s="5" t="inlineStr">
        <is>
          <t>客戶 HR 主管 Email 要求員工離職不刪帳號 → 登錄為「例外處理」，風險「高」，Email 存檔</t>
        </is>
      </c>
    </row>
  </sheetData>
  <mergeCells count="7">
    <mergeCell ref="A4:B4"/>
    <mergeCell ref="A24:B24"/>
    <mergeCell ref="A2:B2"/>
    <mergeCell ref="A33:B33"/>
    <mergeCell ref="A10:B10"/>
    <mergeCell ref="A1:B1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2026-04-07T17:37:45Z</dcterms:created>
  <dcterms:modified xmlns:dcterms="http://purl.org/dc/terms/" xmlns:xsi="http://www.w3.org/2001/XMLSchema-instance" xsi:type="dcterms:W3CDTF">2026-04-07T17:37:45Z</dcterms:modified>
</cp:coreProperties>
</file>